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ingh\Downloads\"/>
    </mc:Choice>
  </mc:AlternateContent>
  <xr:revisionPtr revIDLastSave="0" documentId="13_ncr:1_{19AE8400-A2A1-4BD2-B0F4-5C6F07FFB5C0}" xr6:coauthVersionLast="47" xr6:coauthVersionMax="47" xr10:uidLastSave="{00000000-0000-0000-0000-000000000000}"/>
  <bookViews>
    <workbookView xWindow="-120" yWindow="-120" windowWidth="20730" windowHeight="11040" tabRatio="500" firstSheet="2" activeTab="2" xr2:uid="{00000000-000D-0000-FFFF-FFFF00000000}"/>
  </bookViews>
  <sheets>
    <sheet name="pivot table " sheetId="8" r:id="rId1"/>
    <sheet name="Patient_Database" sheetId="1" r:id="rId2"/>
    <sheet name="VLOOKUP_Practice" sheetId="2" r:id="rId3"/>
    <sheet name="XLOOKUP_Practice" sheetId="3" r:id="rId4"/>
    <sheet name="Comparison_InterviewQA" sheetId="4" r:id="rId5"/>
    <sheet name="Practice_Challenges" sheetId="5" r:id="rId6"/>
    <sheet name="xlookup and vlookup" sheetId="6" r:id="rId7"/>
  </sheets>
  <calcPr calcId="191029" iterateDelta="1E-4"/>
  <pivotCaches>
    <pivotCache cacheId="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4" i="1" l="1"/>
  <c r="L5" i="1"/>
  <c r="L6" i="1"/>
  <c r="L7" i="1"/>
  <c r="L8" i="1"/>
  <c r="L9" i="1"/>
  <c r="L10" i="1"/>
  <c r="L11" i="1"/>
  <c r="L12" i="1"/>
  <c r="L13" i="1"/>
  <c r="L14" i="1"/>
  <c r="L15" i="1"/>
  <c r="L16" i="1"/>
  <c r="L17" i="1"/>
  <c r="L3" i="1"/>
  <c r="K4" i="1"/>
  <c r="K5" i="1"/>
  <c r="K6" i="1"/>
  <c r="K7" i="1"/>
  <c r="K8" i="1"/>
  <c r="K9" i="1"/>
  <c r="K10" i="1"/>
  <c r="K11" i="1"/>
  <c r="K12" i="1"/>
  <c r="K13" i="1"/>
  <c r="K14" i="1"/>
  <c r="K15" i="1"/>
  <c r="K16" i="1"/>
  <c r="K17" i="1"/>
  <c r="K3" i="1"/>
  <c r="I4" i="1"/>
  <c r="I5" i="1"/>
  <c r="I6" i="1"/>
  <c r="I7" i="1"/>
  <c r="I8" i="1"/>
  <c r="I9" i="1"/>
  <c r="I10" i="1"/>
  <c r="I11" i="1"/>
  <c r="I12" i="1"/>
  <c r="I13" i="1"/>
  <c r="I14" i="1"/>
  <c r="I15" i="1"/>
  <c r="I16" i="1"/>
  <c r="I17" i="1"/>
  <c r="I3" i="1"/>
  <c r="J4" i="1"/>
  <c r="J5" i="1"/>
  <c r="J6" i="1"/>
  <c r="J7" i="1"/>
  <c r="J8" i="1"/>
  <c r="J9" i="1"/>
  <c r="J10" i="1"/>
  <c r="J11" i="1"/>
  <c r="J12" i="1"/>
  <c r="J13" i="1"/>
  <c r="J14" i="1"/>
  <c r="J15" i="1"/>
  <c r="J16" i="1"/>
  <c r="J17" i="1"/>
  <c r="J3" i="1"/>
  <c r="O3" i="6"/>
  <c r="P3" i="6"/>
  <c r="N3" i="6"/>
  <c r="M3" i="6" a="1"/>
  <c r="M3" i="6"/>
  <c r="L3" i="6"/>
  <c r="K3" i="6"/>
  <c r="J3" i="6"/>
  <c r="G12" i="2"/>
  <c r="F12" i="2"/>
  <c r="E12" i="2"/>
  <c r="D12" i="2"/>
  <c r="C1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<sst xmlns="http://schemas.openxmlformats.org/spreadsheetml/2006/main" count="402" uniqueCount="243">
  <si>
    <t>🏥  CITY GENERAL HOSPITAL — PATIENT DATABASE</t>
  </si>
  <si>
    <t>Patient ID</t>
  </si>
  <si>
    <t>Patient Name</t>
  </si>
  <si>
    <t>Age</t>
  </si>
  <si>
    <t>Department</t>
  </si>
  <si>
    <t>Doctor Assigned</t>
  </si>
  <si>
    <t>Blood Group</t>
  </si>
  <si>
    <t>Admission Date</t>
  </si>
  <si>
    <t>Bill Amount ($)</t>
  </si>
  <si>
    <t>P001</t>
  </si>
  <si>
    <t>Aarav Sharma</t>
  </si>
  <si>
    <t>Cardiology</t>
  </si>
  <si>
    <t>Dr. Mehta</t>
  </si>
  <si>
    <t>A+</t>
  </si>
  <si>
    <t>2024-01-05</t>
  </si>
  <si>
    <t>P002</t>
  </si>
  <si>
    <t>Priya Patel</t>
  </si>
  <si>
    <t>Orthopedics</t>
  </si>
  <si>
    <t>Dr. Singh</t>
  </si>
  <si>
    <t>B+</t>
  </si>
  <si>
    <t>2024-01-08</t>
  </si>
  <si>
    <t>P003</t>
  </si>
  <si>
    <t>Rohan Verma</t>
  </si>
  <si>
    <t>Neurology</t>
  </si>
  <si>
    <t>Dr. Kapoor</t>
  </si>
  <si>
    <t>O+</t>
  </si>
  <si>
    <t>2024-01-10</t>
  </si>
  <si>
    <t>P004</t>
  </si>
  <si>
    <t>Sneha Gupta</t>
  </si>
  <si>
    <t>AB-</t>
  </si>
  <si>
    <t>2024-01-12</t>
  </si>
  <si>
    <t>P005</t>
  </si>
  <si>
    <t>Karan Malhotra</t>
  </si>
  <si>
    <t>General</t>
  </si>
  <si>
    <t>Dr. Joshi</t>
  </si>
  <si>
    <t>A-</t>
  </si>
  <si>
    <t>2024-01-15</t>
  </si>
  <si>
    <t>P006</t>
  </si>
  <si>
    <t>Anjali Desai</t>
  </si>
  <si>
    <t>Oncology</t>
  </si>
  <si>
    <t>Dr. Rao</t>
  </si>
  <si>
    <t>B-</t>
  </si>
  <si>
    <t>2024-01-18</t>
  </si>
  <si>
    <t>P007</t>
  </si>
  <si>
    <t>Vikram Nair</t>
  </si>
  <si>
    <t>2024-01-20</t>
  </si>
  <si>
    <t>P008</t>
  </si>
  <si>
    <t>Meera Iyer</t>
  </si>
  <si>
    <t>2024-01-22</t>
  </si>
  <si>
    <t>P009</t>
  </si>
  <si>
    <t>Arjun Reddy</t>
  </si>
  <si>
    <t>AB+</t>
  </si>
  <si>
    <t>2024-01-25</t>
  </si>
  <si>
    <t>P010</t>
  </si>
  <si>
    <t>Kavya Nambiar</t>
  </si>
  <si>
    <t>O-</t>
  </si>
  <si>
    <t>2024-01-28</t>
  </si>
  <si>
    <t>P011</t>
  </si>
  <si>
    <t>Suresh Kumar</t>
  </si>
  <si>
    <t>2024-02-01</t>
  </si>
  <si>
    <t>P012</t>
  </si>
  <si>
    <t>Divya Menon</t>
  </si>
  <si>
    <t>2024-02-03</t>
  </si>
  <si>
    <t>P013</t>
  </si>
  <si>
    <t>Rajesh Pillai</t>
  </si>
  <si>
    <t>2024-02-06</t>
  </si>
  <si>
    <t>P014</t>
  </si>
  <si>
    <t>Pooja Agarwal</t>
  </si>
  <si>
    <t>2024-02-08</t>
  </si>
  <si>
    <t>P015</t>
  </si>
  <si>
    <t>Nikhil Bose</t>
  </si>
  <si>
    <t>2024-02-10</t>
  </si>
  <si>
    <t>📘  VLOOKUP — Syntax, Rules &amp; Practice</t>
  </si>
  <si>
    <t>SYNTAX:  =VLOOKUP( lookup_value,  table_array,  col_index_num,  [range_lookup] )</t>
  </si>
  <si>
    <t>✔</t>
  </si>
  <si>
    <t>lookup_value</t>
  </si>
  <si>
    <t>The value you want to find (e.g. Patient ID like P003)</t>
  </si>
  <si>
    <t>table_array</t>
  </si>
  <si>
    <t>The full table range — FIRST column MUST contain the lookup value</t>
  </si>
  <si>
    <t>col_index_num</t>
  </si>
  <si>
    <t>Which column number to return (1=first col, 2=second col, …)</t>
  </si>
  <si>
    <t>range_lookup</t>
  </si>
  <si>
    <t>FALSE = exact match (always use this!)  |  TRUE = approximate match</t>
  </si>
  <si>
    <t>⚠</t>
  </si>
  <si>
    <t>Key Limit</t>
  </si>
  <si>
    <t>VLOOKUP can only look LEFT → RIGHT. Cannot return a column to the LEFT of lookup column.</t>
  </si>
  <si>
    <t>🔍  PRACTICE ZONE — Enter a Patient ID in C12 to auto-fill all details</t>
  </si>
  <si>
    <t>Patient ID (type here) →</t>
  </si>
  <si>
    <t>Doctor</t>
  </si>
  <si>
    <t>📝  FORMULA BREAKDOWN (read to understand each part)</t>
  </si>
  <si>
    <t>Formula Used (Name)</t>
  </si>
  <si>
    <t>VLOOKUP( A12,  Patient_Database!$A$3:$H$17,  2,  FALSE )</t>
  </si>
  <si>
    <t>A12  → the Patient ID you typed</t>
  </si>
  <si>
    <t>Patient_Database!$A$3:$H$17  → entire patient table (locked with $)</t>
  </si>
  <si>
    <t>2 = Patient Name | 3 = Age | 4 = Department | 5 = Doctor | 8 = Bill</t>
  </si>
  <si>
    <t>FALSE = exact match — always use FALSE in real work</t>
  </si>
  <si>
    <t>IFERROR wrapper</t>
  </si>
  <si>
    <t>IFERROR(...,"Not Found") — shows clean message if ID not found</t>
  </si>
  <si>
    <t>📗  XLOOKUP — Syntax, Rules &amp; Practice  (Excel 365 / 2019+)</t>
  </si>
  <si>
    <t>SYNTAX:  =XLOOKUP( lookup_value,  lookup_array,  return_array,  [if_not_found],  [match_mode],  [search_mode] )</t>
  </si>
  <si>
    <t>The value to search for (e.g. Patient ID P007)</t>
  </si>
  <si>
    <t>lookup_array</t>
  </si>
  <si>
    <t>The single column/row to search IN (just the ID column)</t>
  </si>
  <si>
    <t>return_array</t>
  </si>
  <si>
    <t>The column(s) to return — can be ANY column, even to the LEFT!</t>
  </si>
  <si>
    <t>if_not_found</t>
  </si>
  <si>
    <t>Text shown when not found — e.g. "Patient Not Found" (replaces IFERROR)</t>
  </si>
  <si>
    <t>match_mode</t>
  </si>
  <si>
    <t>0 = exact match (default)  |  -1 = exact or next smaller  |  1 = exact or next larger</t>
  </si>
  <si>
    <t>search_mode</t>
  </si>
  <si>
    <t>1 = first to last (default)  |  -1 = last to first  |  2 = binary search</t>
  </si>
  <si>
    <t>⭐</t>
  </si>
  <si>
    <t>vs VLOOKUP</t>
  </si>
  <si>
    <t>No col_index_num needed! Searches any direction. Much more flexible.</t>
  </si>
  <si>
    <t>🔍  PRACTICE ZONE — Enter a Patient ID in A14 to see XLOOKUP in action</t>
  </si>
  <si>
    <t>Patient ID →</t>
  </si>
  <si>
    <t>Bill ($)</t>
  </si>
  <si>
    <t>XLOOKUP(A14, $A$3:$A$17, $B$3:$B$17, "Not Found")</t>
  </si>
  <si>
    <t>XLOOKUP(A14, $A$3:$A$17, $C$3:$C$17, "Not Found")</t>
  </si>
  <si>
    <t>XLOOKUP(A14, $A$3:$A$17, $D$3:$D$17, "Not Found")</t>
  </si>
  <si>
    <t>XLOOKUP(A14, $A$3:$A$17, $E$3:$E$17, "Not Found")</t>
  </si>
  <si>
    <t>XLOOKUP(A14, $A$3:$A$17, $F$3:$F$17, "Not Found")</t>
  </si>
  <si>
    <t>XLOOKUP(A14, $A$3:$A$17, $G$3:$G$17, "Not Found")</t>
  </si>
  <si>
    <t>XLOOKUP(A14, $A$3:$A$17, $H$3:$H$17, "Not Found")</t>
  </si>
  <si>
    <t>📝  FORMULA BREAKDOWN</t>
  </si>
  <si>
    <t>XLOOKUP( A14,  Patient_Database!$A$3:$A$17,  Patient_Database!$B$3:$B$17,  "Not Found" )</t>
  </si>
  <si>
    <t>A14 → Patient ID entered by user</t>
  </si>
  <si>
    <t>Patient_Database!$A$3:$A$17 → only the ID column (single column)</t>
  </si>
  <si>
    <t>Patient_Database!$B$3:$B$17 → the column you want returned — change per field</t>
  </si>
  <si>
    <t>"Not Found" → built-in error handling, no IFERROR needed</t>
  </si>
  <si>
    <t>Key Advantage 1</t>
  </si>
  <si>
    <t>return_array can be ANY column — left, right, doesn't matter!</t>
  </si>
  <si>
    <t>Key Advantage 2</t>
  </si>
  <si>
    <t>You can return MULTIPLE columns at once with a wider return_array range</t>
  </si>
  <si>
    <t>Key Advantage 3</t>
  </si>
  <si>
    <t>search_mode = -1 finds the LAST match (impossible with VLOOKUP)</t>
  </si>
  <si>
    <t>⚔️  VLOOKUP vs XLOOKUP — Side-by-Side Comparison + Interview Q&amp;A</t>
  </si>
  <si>
    <t>Feature</t>
  </si>
  <si>
    <t>VLOOKUP</t>
  </si>
  <si>
    <t>XLOOKUP</t>
  </si>
  <si>
    <t>Winner</t>
  </si>
  <si>
    <t>Search Direction</t>
  </si>
  <si>
    <t>Left → Right only</t>
  </si>
  <si>
    <t>Any direction (left, right, up, down)</t>
  </si>
  <si>
    <t>XLOOKUP ⭐</t>
  </si>
  <si>
    <t>Lookup Column Position</t>
  </si>
  <si>
    <t>Must be 1st column of table_array</t>
  </si>
  <si>
    <t>Lookup array = any single column</t>
  </si>
  <si>
    <t>Error Handling</t>
  </si>
  <si>
    <t>Need IFERROR wrapper</t>
  </si>
  <si>
    <t>Built-in if_not_found argument</t>
  </si>
  <si>
    <t>Column Reference</t>
  </si>
  <si>
    <t>col_index_num — breaks if cols added</t>
  </si>
  <si>
    <t>Direct range — auto-adjusts</t>
  </si>
  <si>
    <t>Multiple Columns Return</t>
  </si>
  <si>
    <t>One column at a time</t>
  </si>
  <si>
    <t>Can return a range of columns at once</t>
  </si>
  <si>
    <t>Last Match / Reverse</t>
  </si>
  <si>
    <t>Not possible</t>
  </si>
  <si>
    <t>search_mode = -1</t>
  </si>
  <si>
    <t>Excel Version</t>
  </si>
  <si>
    <t>All versions (2003+)</t>
  </si>
  <si>
    <t>Excel 365 / 2019+ only</t>
  </si>
  <si>
    <t>Familiarity</t>
  </si>
  <si>
    <t>Everyone knows it</t>
  </si>
  <si>
    <t>Newer — some may not know</t>
  </si>
  <si>
    <t>Performance</t>
  </si>
  <si>
    <t>Slightly faster on huge datasets</t>
  </si>
  <si>
    <t>Comparable on most datasets</t>
  </si>
  <si>
    <t>🎯  TOP INTERVIEW QUESTIONS &amp; IDEAL ANSWERS</t>
  </si>
  <si>
    <t xml:space="preserve">  Q1:  What is the main difference between VLOOKUP and XLOOKUP?</t>
  </si>
  <si>
    <t xml:space="preserve">  ✅  XLOOKUP is more flexible — it can search in any direction, doesn't require the lookup column to be first, has built-in error handling, and can return multiple columns. VLOOKUP only works left-to-right and needs IFERROR separately.</t>
  </si>
  <si>
    <t xml:space="preserve">  Q2:  Why do we use FALSE in VLOOKUP?</t>
  </si>
  <si>
    <t xml:space="preserve">  ✅  FALSE means exact match. If we use TRUE, it does approximate match which can return wrong results. In real-world data like IDs or names, we always need exact match, so FALSE is the safe default.</t>
  </si>
  <si>
    <t xml:space="preserve">  Q3:  What happens if VLOOKUP finds a duplicate?</t>
  </si>
  <si>
    <t xml:space="preserve">  ✅  VLOOKUP always returns the FIRST matching value. If there are duplicates, you won't see them. XLOOKUP with search_mode=-1 can return the LAST match instead.</t>
  </si>
  <si>
    <t xml:space="preserve">  Q4:  Can VLOOKUP return a value from a column to the LEFT?</t>
  </si>
  <si>
    <t xml:space="preserve">  ✅  No — that's its biggest limitation. VLOOKUP can only return columns to the RIGHT of the lookup column. XLOOKUP has no such restriction.</t>
  </si>
  <si>
    <t xml:space="preserve">  Q5:  What does IFERROR do with VLOOKUP?</t>
  </si>
  <si>
    <t xml:space="preserve">  IFERROR wraps VLOOKUP so that if the lookup fails (ID not found), it shows "Not Found" instead of the ugly #N/A error. XLOOKUP has this built-in as the 4th argument - no wrapper needed.</t>
  </si>
  <si>
    <t xml:space="preserve">  Q6:  When would you still use VLOOKUP over XLOOKUP?</t>
  </si>
  <si>
    <t xml:space="preserve">  ✅  When working with older Excel versions (before 2019) where XLOOKUP is not available, or when sharing files with people who use older Excel. Also, in some companies VLOOKUP is the standard and team members expect it.</t>
  </si>
  <si>
    <t xml:space="preserve">  Q7:  What is col_index_num and why is it risky?</t>
  </si>
  <si>
    <t xml:space="preserve">  ✅  It's the column number to return in VLOOKUP. The risk: if someone inserts a new column in your table, the index shifts and your formula returns wrong data silently. XLOOKUP uses a direct range reference so it auto-adjusts.</t>
  </si>
  <si>
    <t>💪  SELF-PRACTICE CHALLENGES — Try These Yourself!</t>
  </si>
  <si>
    <t xml:space="preserve">  Challenge 1  (VLOOKUP – Basic)</t>
  </si>
  <si>
    <t xml:space="preserve">  📌  TASK:  Find the Blood Group of patient P006</t>
  </si>
  <si>
    <t xml:space="preserve">  ✏️  Your Formula:</t>
  </si>
  <si>
    <t>💡 Answer:</t>
  </si>
  <si>
    <t>VLOOKUP("P006", Patient_Database!$A$3:$H$17, 6, FALSE())</t>
  </si>
  <si>
    <t xml:space="preserve">  Challenge 2  (VLOOKUP – With IFERROR)</t>
  </si>
  <si>
    <t xml:space="preserve">  📌  TASK:  Look up Patient ID P999 (doesn't exist) and show 'Patient Not Found' instead of error</t>
  </si>
  <si>
    <t>IFERROR(VLOOKUP("P999", Patient_Database!$A$3:$H$17, 2, FALSE()), "Patient Not Found")</t>
  </si>
  <si>
    <t xml:space="preserve">  Challenge 3  (XLOOKUP – Basic)</t>
  </si>
  <si>
    <t xml:space="preserve">  📌  TASK:  Find the Admission Date of patient P012 using XLOOKUP</t>
  </si>
  <si>
    <t>xlookup("P012", Patient_Database!$A$3:$A$17, Patient_Database!$G$3:$G$17, "Not Found")</t>
  </si>
  <si>
    <t xml:space="preserve">  Challenge 4  (XLOOKUP – Return Left Column)</t>
  </si>
  <si>
    <t xml:space="preserve">  📌  TASK:  You have a doctor name 'Dr. Rao' — find which Department he works in (column is to the LEFT of Doctor column — impossible with VLOOKUP!)</t>
  </si>
  <si>
    <t>xlookup("Dr. Rao", Patient_Database!$E$3:$E$17, Patient_Database!$D$3:$D$17, "Not Found")</t>
  </si>
  <si>
    <t xml:space="preserve">  Challenge 5  (XLOOKUP – Last Match)</t>
  </si>
  <si>
    <t xml:space="preserve">  📌  TASK:  Patient P001 and P010 are both in Cardiology under Dr. Mehta. Use search_mode=-1 to find the LAST bill amount in the Cardiology department.</t>
  </si>
  <si>
    <t>xlookup("Cardiology", Patient_Database!$D$3:$D$17, Patient_Database!$H$3:$H$17, "Not Found", 0, -1)</t>
  </si>
  <si>
    <t xml:space="preserve">  Challenge 6  (Bonus – VLOOKUP vs XLOOKUP)</t>
  </si>
  <si>
    <t xml:space="preserve">  📌  TASK:  Write BOTH VLOOKUP and XLOOKUP formulas to find the Doctor for patient P008. Confirm both give the same result.</t>
  </si>
  <si>
    <t>Answer: VLOOKUP: VLOOKUP("P008",Patient_Database!$A$3:$H$17,5,FALSE)  |  XLOOKUP: XLOOKUP("P008",Patient_Database!$A$3:$A$17,Patient_Database!$E$3:$E$17,"Not Found")</t>
  </si>
  <si>
    <t>💡  PRO TIPS: Always lock ranges with $ | Use IFERROR with VLOOKUP | XLOOKUP is the future — learn both!</t>
  </si>
  <si>
    <t>$45,000</t>
  </si>
  <si>
    <t>$28,000</t>
  </si>
  <si>
    <t>$72,000</t>
  </si>
  <si>
    <t>$55,000</t>
  </si>
  <si>
    <t>$12,000</t>
  </si>
  <si>
    <t>$95,000</t>
  </si>
  <si>
    <t>$33,000</t>
  </si>
  <si>
    <t>$61,000</t>
  </si>
  <si>
    <t>$88,000</t>
  </si>
  <si>
    <t>$49,000</t>
  </si>
  <si>
    <t>$15,000</t>
  </si>
  <si>
    <t>$37,000</t>
  </si>
  <si>
    <t>$68,000</t>
  </si>
  <si>
    <t>$9,500</t>
  </si>
  <si>
    <t>$51,000</t>
  </si>
  <si>
    <t>blood gp of pateint p006</t>
  </si>
  <si>
    <t>looking for patient p999</t>
  </si>
  <si>
    <t>addmission date of patient p012</t>
  </si>
  <si>
    <t>in which deopartment dr rao work</t>
  </si>
  <si>
    <t>for duplicate value</t>
  </si>
  <si>
    <t>find doctor for patient p003</t>
  </si>
  <si>
    <t>vlookup</t>
  </si>
  <si>
    <t>xlookup</t>
  </si>
  <si>
    <t>Staff ID Badge</t>
  </si>
  <si>
    <t>Email</t>
  </si>
  <si>
    <t xml:space="preserve">                                                                                                          🏥  CITY GENERAL HOSPITAL — PATIENT DATABASE</t>
  </si>
  <si>
    <t>Full Pateint profile</t>
  </si>
  <si>
    <t>Doctor Info</t>
  </si>
  <si>
    <t>Column1</t>
  </si>
  <si>
    <t>Column2</t>
  </si>
  <si>
    <t>Column3</t>
  </si>
  <si>
    <t>Column4</t>
  </si>
  <si>
    <t>Column5</t>
  </si>
  <si>
    <t>Count of Patient ID</t>
  </si>
  <si>
    <t>Grand Total</t>
  </si>
  <si>
    <t>Sum of Bill Amount ($)</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</si>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</sst>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5" x14ac:knownFonts="1">
    <font>
      <sz val="11"/>
      <color theme="1"/>
      <name val="Calibri"/>
      <family val="2"/>
      <charset val="1"/>
    </font>
    <font>
      <sz val="11"/>
      <color theme="1"/>
      <name val="Calibri"/>
      <family val="2"/>
      <scheme val="minor"/>
    </font>
    <font>
      <b/>
      <sz val="13"/>
      <color rgb="FFFFFFFF"/>
      <name val="Arial"/>
      <charset val="1"/>
    </font>
    <font>
      <b/>
      <sz val="10"/>
      <color rgb="FFFFFFFF"/>
      <name val="Arial"/>
      <charset val="1"/>
    </font>
    <font>
      <sz val="10"/>
      <name val="Arial"/>
      <charset val="1"/>
    </font>
    <font>
      <b/>
      <sz val="11"/>
      <color rgb="FFFFFFFF"/>
      <name val="Arial"/>
      <charset val="1"/>
    </font>
    <font>
      <b/>
      <sz val="10"/>
      <name val="Arial"/>
      <charset val="1"/>
    </font>
    <font>
      <b/>
      <sz val="12"/>
      <color rgb="FFCC0000"/>
      <name val="Arial"/>
      <charset val="1"/>
    </font>
    <font>
      <sz val="11"/>
      <name val="Arial"/>
      <charset val="1"/>
    </font>
    <font>
      <sz val="9"/>
      <color rgb="FF1F3864"/>
      <name val="Arial"/>
      <charset val="1"/>
    </font>
    <font>
      <b/>
      <sz val="12"/>
      <color rgb="FFFFFFFF"/>
      <name val="Arial"/>
      <charset val="1"/>
    </font>
    <font>
      <b/>
      <sz val="9"/>
      <color rgb="FF2E75B6"/>
      <name val="Arial"/>
      <charset val="1"/>
    </font>
    <font>
      <sz val="9"/>
      <color rgb="FF808080"/>
      <name val="Arial"/>
      <charset val="1"/>
    </font>
    <font>
      <sz val="11"/>
      <color theme="0"/>
      <name val="Calibri"/>
      <family val="2"/>
      <scheme val="minor"/>
    </font>
    <font>
      <sz val="11"/>
      <color rgb="FF7030A0"/>
      <name val="Calibri"/>
      <family val="2"/>
      <scheme val="minor"/>
    </font>
  </fonts>
  <fills count="13">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2F2F2"/>
        <bgColor rgb="FFE2EFDA"/>
      </patternFill>
    </fill>
    <fill>
      <patternFill patternType="solid">
        <fgColor rgb="FFFFFFFF"/>
        <bgColor rgb="FFF2F2F2"/>
      </patternFill>
    </fill>
    <fill>
      <patternFill patternType="solid">
        <fgColor rgb="FFBDD7EE"/>
        <bgColor rgb="FF99CCFF"/>
      </patternFill>
    </fill>
    <fill>
      <patternFill patternType="solid">
        <fgColor rgb="FFFFFF99"/>
        <bgColor rgb="FFFCE4D6"/>
      </patternFill>
    </fill>
    <fill>
      <patternFill patternType="solid">
        <fgColor rgb="FFE2EFDA"/>
        <bgColor rgb="FFF2F2F2"/>
      </patternFill>
    </fill>
    <fill>
      <patternFill patternType="solid">
        <fgColor rgb="FFFCE4D6"/>
        <bgColor rgb="FFF2F2F2"/>
      </patternFill>
    </fill>
    <fill>
      <patternFill patternType="solid">
        <fgColor theme="4" tint="0.59999389629810485"/>
        <bgColor indexed="65"/>
      </patternFill>
    </fill>
    <fill>
      <patternFill patternType="solid">
        <fgColor theme="7"/>
      </patternFill>
    </fill>
    <fill>
      <patternFill patternType="solid">
        <fgColor theme="7" tint="0.59999389629810485"/>
        <bgColor indexed="65"/>
      </patternFill>
    </fill>
  </fills>
  <borders count="22">
    <border>
      <left/>
      <right/>
      <top/>
      <bottom/>
      <diagonal/>
    </border>
    <border>
      <left style="thin">
        <color rgb="FFBFBFBF"/>
      </left>
      <right style="thin">
        <color rgb="FFBFBFBF"/>
      </right>
      <top style="thin">
        <color rgb="FFBFBFBF"/>
      </top>
      <bottom style="thin">
        <color rgb="FFBFBFBF"/>
      </bottom>
      <diagonal/>
    </border>
    <border>
      <left/>
      <right/>
      <top style="thin">
        <color indexed="64"/>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rgb="FFFFFFFF"/>
      </left>
      <right style="thin">
        <color rgb="FFBFBFBF"/>
      </right>
      <top style="medium">
        <color rgb="FFFFFFFF"/>
      </top>
      <bottom style="thin">
        <color rgb="FFBFBFBF"/>
      </bottom>
      <diagonal/>
    </border>
    <border>
      <left style="thin">
        <color rgb="FFBFBFBF"/>
      </left>
      <right style="thin">
        <color rgb="FFBFBFBF"/>
      </right>
      <top style="medium">
        <color rgb="FFFFFFFF"/>
      </top>
      <bottom style="thin">
        <color rgb="FFBFBFBF"/>
      </bottom>
      <diagonal/>
    </border>
    <border>
      <left style="medium">
        <color rgb="FFFFFFFF"/>
      </left>
      <right style="thin">
        <color rgb="FFBFBFBF"/>
      </right>
      <top style="thin">
        <color rgb="FFBFBFBF"/>
      </top>
      <bottom style="thin">
        <color rgb="FFFFFFFF"/>
      </bottom>
      <diagonal/>
    </border>
    <border>
      <left style="thin">
        <color rgb="FFBFBFBF"/>
      </left>
      <right style="medium">
        <color rgb="FFFFFFFF"/>
      </right>
      <top style="thin">
        <color rgb="FFBFBFBF"/>
      </top>
      <bottom style="thin">
        <color rgb="FFBFBFBF"/>
      </bottom>
      <diagonal/>
    </border>
    <border>
      <left style="medium">
        <color rgb="FFFFFFFF"/>
      </left>
      <right style="thin">
        <color rgb="FFBFBFBF"/>
      </right>
      <top/>
      <bottom style="thin">
        <color rgb="FFBFBFBF"/>
      </bottom>
      <diagonal/>
    </border>
    <border>
      <left style="medium">
        <color rgb="FFFFFFFF"/>
      </left>
      <right style="thin">
        <color rgb="FFBFBFBF"/>
      </right>
      <top style="thin">
        <color rgb="FFBFBFBF"/>
      </top>
      <bottom style="thin">
        <color rgb="FFBFBFBF"/>
      </bottom>
      <diagonal/>
    </border>
    <border>
      <left style="thin">
        <color rgb="FFBFBFBF"/>
      </left>
      <right style="medium">
        <color rgb="FFFFFFFF"/>
      </right>
      <top style="thin">
        <color rgb="FFBFBFBF"/>
      </top>
      <bottom/>
      <diagonal/>
    </border>
    <border>
      <left style="thin">
        <color rgb="FFBFBFBF"/>
      </left>
      <right style="medium">
        <color rgb="FFFFFFFF"/>
      </right>
      <top style="thin">
        <color rgb="FFFFFFFF"/>
      </top>
      <bottom style="thin">
        <color rgb="FFBFBFBF"/>
      </bottom>
      <diagonal/>
    </border>
    <border>
      <left style="medium">
        <color rgb="FFFFFFFF"/>
      </left>
      <right style="thin">
        <color rgb="FFBFBFBF"/>
      </right>
      <top style="thin">
        <color rgb="FFBFBFBF"/>
      </top>
      <bottom style="medium">
        <color rgb="FFFFFFFF"/>
      </bottom>
      <diagonal/>
    </border>
    <border>
      <left style="thin">
        <color rgb="FFBFBFBF"/>
      </left>
      <right style="thin">
        <color rgb="FFBFBFBF"/>
      </right>
      <top style="thin">
        <color rgb="FFBFBFBF"/>
      </top>
      <bottom style="medium">
        <color rgb="FFFFFFFF"/>
      </bottom>
      <diagonal/>
    </border>
    <border>
      <left style="thin">
        <color rgb="FFBFBFBF"/>
      </left>
      <right style="medium">
        <color rgb="FFFFFFFF"/>
      </right>
      <top style="thin">
        <color rgb="FFBFBFBF"/>
      </top>
      <bottom style="medium">
        <color rgb="FFFFFFFF"/>
      </bottom>
      <diagonal/>
    </border>
    <border>
      <left style="thin">
        <color rgb="FFBFBFBF"/>
      </left>
      <right/>
      <top style="medium">
        <color rgb="FFFFFFFF"/>
      </top>
      <bottom style="thin">
        <color rgb="FFBFBFBF"/>
      </bottom>
      <diagonal/>
    </border>
  </borders>
  <cellStyleXfs count="4">
    <xf numFmtId="0" fontId="0" fillId="0" borderId="0"/>
    <xf numFmtId="0" fontId="1" fillId="10" borderId="0" applyNumberFormat="0" applyBorder="0" applyAlignment="0" applyProtection="0"/>
    <xf numFmtId="0" fontId="13" fillId="11" borderId="0" applyNumberFormat="0" applyBorder="0" applyAlignment="0" applyProtection="0"/>
    <xf numFmtId="0" fontId="1" fillId="12" borderId="0" applyNumberFormat="0" applyBorder="0" applyAlignment="0" applyProtection="0"/>
  </cellStyleXfs>
  <cellXfs count="77">
    <xf numFmtId="0" fontId="0" fillId="0" borderId="0" xfId="0"/>
    <xf numFmtId="0" fontId="4" fillId="7" borderId="0" xfId="0" applyFont="1" applyFill="1" applyAlignment="1">
      <alignment vertical="center" wrapText="1"/>
    </xf>
    <xf numFmtId="0" fontId="5" fillId="3" borderId="0" xfId="0" applyFont="1" applyFill="1" applyAlignment="1">
      <alignment vertical="center"/>
    </xf>
    <xf numFmtId="0" fontId="4" fillId="8" borderId="0" xfId="0" applyFont="1" applyFill="1" applyAlignment="1">
      <alignment vertical="center" wrapText="1"/>
    </xf>
    <xf numFmtId="0" fontId="3" fillId="3" borderId="0" xfId="0" applyFont="1" applyFill="1" applyAlignment="1">
      <alignment vertical="center" wrapText="1"/>
    </xf>
    <xf numFmtId="0" fontId="10" fillId="2" borderId="0" xfId="0" applyFont="1" applyFill="1" applyAlignment="1">
      <alignment horizontal="center" vertical="center"/>
    </xf>
    <xf numFmtId="0" fontId="4" fillId="8"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5" borderId="0" xfId="0" applyFont="1" applyFill="1" applyAlignment="1">
      <alignment vertical="center" wrapText="1"/>
    </xf>
    <xf numFmtId="0" fontId="4" fillId="9" borderId="0" xfId="0" applyFont="1" applyFill="1" applyAlignment="1">
      <alignment vertical="center" wrapText="1"/>
    </xf>
    <xf numFmtId="0" fontId="5" fillId="2" borderId="1" xfId="0" applyFont="1" applyFill="1" applyBorder="1" applyAlignment="1">
      <alignment horizontal="center" vertical="center"/>
    </xf>
    <xf numFmtId="0" fontId="4" fillId="5" borderId="0" xfId="0" applyFont="1" applyFill="1" applyAlignment="1">
      <alignment vertical="center"/>
    </xf>
    <xf numFmtId="0" fontId="4" fillId="6" borderId="0" xfId="0" applyFont="1" applyFill="1" applyAlignment="1">
      <alignment vertical="center"/>
    </xf>
    <xf numFmtId="0" fontId="5" fillId="3" borderId="0" xfId="0" applyFont="1" applyFill="1" applyAlignment="1">
      <alignment horizontal="center" vertical="center"/>
    </xf>
    <xf numFmtId="0" fontId="2" fillId="2" borderId="0" xfId="0" applyFont="1" applyFill="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4" fillId="6" borderId="0" xfId="0" applyFont="1" applyFill="1" applyAlignment="1">
      <alignment vertical="center"/>
    </xf>
    <xf numFmtId="0" fontId="6" fillId="6" borderId="0" xfId="0" applyFont="1" applyFill="1" applyAlignment="1">
      <alignment vertical="center"/>
    </xf>
    <xf numFmtId="0" fontId="4" fillId="5" borderId="0" xfId="0" applyFont="1" applyFill="1" applyAlignment="1">
      <alignment vertical="center"/>
    </xf>
    <xf numFmtId="0" fontId="6" fillId="5" borderId="0" xfId="0" applyFont="1" applyFill="1" applyAlignment="1">
      <alignment vertical="center"/>
    </xf>
    <xf numFmtId="0" fontId="7" fillId="7" borderId="1" xfId="0" applyFont="1" applyFill="1" applyBorder="1" applyAlignment="1">
      <alignment horizontal="center"/>
    </xf>
    <xf numFmtId="0" fontId="0" fillId="0" borderId="1" xfId="0" applyBorder="1"/>
    <xf numFmtId="0" fontId="8" fillId="8" borderId="1" xfId="0" applyFont="1" applyFill="1" applyBorder="1" applyAlignment="1">
      <alignment horizontal="center"/>
    </xf>
    <xf numFmtId="164" fontId="8" fillId="8" borderId="1" xfId="0" applyNumberFormat="1" applyFont="1" applyFill="1" applyBorder="1" applyAlignment="1">
      <alignment horizontal="center"/>
    </xf>
    <xf numFmtId="0" fontId="6" fillId="9" borderId="0" xfId="0" applyFont="1" applyFill="1" applyAlignment="1">
      <alignment vertical="center" wrapText="1"/>
    </xf>
    <xf numFmtId="0" fontId="6" fillId="5" borderId="0" xfId="0" applyFont="1" applyFill="1" applyAlignment="1">
      <alignment vertical="center" wrapText="1"/>
    </xf>
    <xf numFmtId="0" fontId="9" fillId="8" borderId="1" xfId="0" applyFont="1" applyFill="1" applyBorder="1" applyAlignment="1">
      <alignment horizontal="left" vertical="center" wrapText="1"/>
    </xf>
    <xf numFmtId="164" fontId="9" fillId="8" borderId="1" xfId="0" applyNumberFormat="1" applyFont="1" applyFill="1" applyBorder="1" applyAlignment="1">
      <alignment horizontal="left" vertical="center" wrapText="1"/>
    </xf>
    <xf numFmtId="0" fontId="5" fillId="3" borderId="1" xfId="0" applyFont="1" applyFill="1" applyBorder="1" applyAlignment="1">
      <alignment horizontal="center" vertical="center"/>
    </xf>
    <xf numFmtId="0" fontId="6" fillId="5" borderId="1" xfId="0" applyFont="1" applyFill="1" applyBorder="1" applyAlignment="1">
      <alignment vertical="center" wrapText="1"/>
    </xf>
    <xf numFmtId="0" fontId="4" fillId="5" borderId="1" xfId="0" applyFont="1" applyFill="1" applyBorder="1" applyAlignment="1">
      <alignment vertical="center" wrapText="1"/>
    </xf>
    <xf numFmtId="0" fontId="6" fillId="4" borderId="1" xfId="0" applyFont="1" applyFill="1" applyBorder="1" applyAlignment="1">
      <alignment vertical="center" wrapText="1"/>
    </xf>
    <xf numFmtId="0" fontId="4" fillId="4" borderId="1" xfId="0" applyFont="1" applyFill="1" applyBorder="1" applyAlignment="1">
      <alignment vertical="center" wrapText="1"/>
    </xf>
    <xf numFmtId="0" fontId="6" fillId="0" borderId="0" xfId="0" applyFont="1" applyAlignment="1">
      <alignment vertical="center"/>
    </xf>
    <xf numFmtId="0" fontId="11" fillId="0" borderId="0" xfId="0" applyFont="1"/>
    <xf numFmtId="0" fontId="12" fillId="4" borderId="0" xfId="0" applyFont="1" applyFill="1" applyAlignment="1">
      <alignment vertical="center" wrapText="1"/>
    </xf>
    <xf numFmtId="0" fontId="0" fillId="5" borderId="1" xfId="0" applyFill="1" applyBorder="1"/>
    <xf numFmtId="0" fontId="5" fillId="2" borderId="0" xfId="0" applyFont="1" applyFill="1" applyAlignment="1">
      <alignment horizontal="center" vertical="center"/>
    </xf>
    <xf numFmtId="0" fontId="13" fillId="11" borderId="0" xfId="2"/>
    <xf numFmtId="0" fontId="1" fillId="12" borderId="0" xfId="3"/>
    <xf numFmtId="14" fontId="1" fillId="12" borderId="0" xfId="3" applyNumberFormat="1"/>
    <xf numFmtId="0" fontId="1" fillId="10" borderId="0" xfId="1"/>
    <xf numFmtId="14" fontId="1" fillId="10" borderId="0" xfId="1" applyNumberFormat="1"/>
    <xf numFmtId="0" fontId="13" fillId="11" borderId="0" xfId="2" applyAlignment="1">
      <alignment horizontal="center" vertical="center"/>
    </xf>
    <xf numFmtId="0" fontId="14" fillId="11" borderId="2" xfId="2" applyFont="1" applyBorder="1"/>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4" fillId="4" borderId="12" xfId="0" applyFont="1" applyFill="1" applyBorder="1" applyAlignment="1">
      <alignment horizontal="center" vertical="center"/>
    </xf>
    <xf numFmtId="164" fontId="4" fillId="4" borderId="13" xfId="0" applyNumberFormat="1" applyFont="1" applyFill="1" applyBorder="1" applyAlignment="1">
      <alignment horizontal="center" vertical="center"/>
    </xf>
    <xf numFmtId="0" fontId="4" fillId="5" borderId="14" xfId="0" applyFont="1" applyFill="1" applyBorder="1" applyAlignment="1">
      <alignment horizontal="center" vertical="center"/>
    </xf>
    <xf numFmtId="164" fontId="4" fillId="5" borderId="13" xfId="0" applyNumberFormat="1" applyFont="1" applyFill="1" applyBorder="1" applyAlignment="1">
      <alignment horizontal="center" vertical="center"/>
    </xf>
    <xf numFmtId="0" fontId="4" fillId="4" borderId="15" xfId="0" applyFont="1" applyFill="1" applyBorder="1" applyAlignment="1">
      <alignment horizontal="center" vertical="center"/>
    </xf>
    <xf numFmtId="0" fontId="4" fillId="5" borderId="15" xfId="0" applyFont="1" applyFill="1" applyBorder="1" applyAlignment="1">
      <alignment horizontal="center" vertical="center"/>
    </xf>
    <xf numFmtId="164" fontId="4" fillId="5" borderId="16" xfId="0" applyNumberFormat="1" applyFont="1" applyFill="1" applyBorder="1" applyAlignment="1">
      <alignment horizontal="center" vertical="center"/>
    </xf>
    <xf numFmtId="164" fontId="4" fillId="4" borderId="17" xfId="0" applyNumberFormat="1" applyFont="1" applyFill="1" applyBorder="1" applyAlignment="1">
      <alignment horizontal="center" vertical="center"/>
    </xf>
    <xf numFmtId="0" fontId="4" fillId="4" borderId="18" xfId="0" applyFont="1" applyFill="1" applyBorder="1" applyAlignment="1">
      <alignment horizontal="center" vertical="center"/>
    </xf>
    <xf numFmtId="0" fontId="4" fillId="4" borderId="19" xfId="0" applyFont="1" applyFill="1" applyBorder="1" applyAlignment="1">
      <alignment horizontal="left" vertical="center"/>
    </xf>
    <xf numFmtId="0" fontId="4" fillId="4" borderId="19" xfId="0" applyFont="1" applyFill="1" applyBorder="1" applyAlignment="1">
      <alignment horizontal="center" vertical="center"/>
    </xf>
    <xf numFmtId="164" fontId="4" fillId="4" borderId="20" xfId="0" applyNumberFormat="1" applyFont="1" applyFill="1" applyBorder="1" applyAlignment="1">
      <alignment horizontal="center" vertical="center"/>
    </xf>
    <xf numFmtId="0" fontId="3" fillId="3" borderId="21" xfId="0" applyFont="1" applyFill="1" applyBorder="1" applyAlignment="1">
      <alignment horizontal="center" vertical="center"/>
    </xf>
    <xf numFmtId="0" fontId="3" fillId="3" borderId="0" xfId="0"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
    <cellStyle name="40% - Accent1" xfId="1" builtinId="31"/>
    <cellStyle name="40% - Accent4" xfId="3" builtinId="43"/>
    <cellStyle name="Accent4" xfId="2" builtinId="41"/>
    <cellStyle name="Normal" xfId="0" builtinId="0"/>
  </cellStyles>
  <dxfs count="2">
    <dxf>
      <border diagonalUp="0" diagonalDown="0">
        <left style="medium">
          <color rgb="FFFFFFFF"/>
        </left>
        <right style="medium">
          <color rgb="FFFFFFFF"/>
        </right>
        <top style="medium">
          <color rgb="FFFFFFFF"/>
        </top>
        <bottom style="medium">
          <color rgb="FFFFFFFF"/>
        </bottom>
      </border>
    </dxf>
    <dxf>
      <font>
        <b/>
        <i val="0"/>
        <strike val="0"/>
        <condense val="0"/>
        <extend val="0"/>
        <outline val="0"/>
        <shadow val="0"/>
        <u val="none"/>
        <vertAlign val="baseline"/>
        <sz val="10"/>
        <color rgb="FFFFFFFF"/>
        <name val="Arial"/>
        <charset val="1"/>
        <scheme val="none"/>
      </font>
      <fill>
        <patternFill patternType="solid">
          <fgColor rgb="FF0066CC"/>
          <bgColor rgb="FF2E75B6"/>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VIND SINGH" refreshedDate="46172.701107754627" createdVersion="8" refreshedVersion="8" minRefreshableVersion="3" recordCount="15" xr:uid="{64B2ED55-0828-4532-9F86-B7774B7AF3E1}">
  <cacheSource type="worksheet">
    <worksheetSource ref="A2:H17" sheet="Patient_Database"/>
  </cacheSource>
  <cacheFields count="8">
    <cacheField name="Patient ID" numFmtId="0">
      <sharedItems/>
    </cacheField>
    <cacheField name="Patient Name" numFmtId="0">
      <sharedItems/>
    </cacheField>
    <cacheField name="Age" numFmtId="0">
      <sharedItems containsSemiMixedTypes="0" containsString="0" containsNumber="1" containsInteger="1" minValue="19" maxValue="63"/>
    </cacheField>
    <cacheField name="Department" numFmtId="0">
      <sharedItems count="5">
        <s v="Cardiology"/>
        <s v="Orthopedics"/>
        <s v="Neurology"/>
        <s v="General"/>
        <s v="Oncology"/>
      </sharedItems>
    </cacheField>
    <cacheField name="Doctor Assigned" numFmtId="0">
      <sharedItems count="5">
        <s v="Dr. Mehta"/>
        <s v="Dr. Singh"/>
        <s v="Dr. Kapoor"/>
        <s v="Dr. Joshi"/>
        <s v="Dr. Rao"/>
      </sharedItems>
    </cacheField>
    <cacheField name="Blood Group" numFmtId="0">
      <sharedItems/>
    </cacheField>
    <cacheField name="Admission Date" numFmtId="0">
      <sharedItems/>
    </cacheField>
    <cacheField name="Bill Amount ($)" numFmtId="164">
      <sharedItems containsSemiMixedTypes="0" containsString="0" containsNumber="1" containsInteger="1" minValue="9500" maxValue="95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001"/>
    <s v="Aarav Sharma"/>
    <n v="34"/>
    <x v="0"/>
    <x v="0"/>
    <s v="A+"/>
    <s v="2024-01-05"/>
    <n v="45000"/>
  </r>
  <r>
    <s v="P002"/>
    <s v="Priya Patel"/>
    <n v="27"/>
    <x v="1"/>
    <x v="1"/>
    <s v="B+"/>
    <s v="2024-01-08"/>
    <n v="28000"/>
  </r>
  <r>
    <s v="P003"/>
    <s v="Rohan Verma"/>
    <n v="52"/>
    <x v="2"/>
    <x v="2"/>
    <s v="O+"/>
    <s v="2024-01-10"/>
    <n v="72000"/>
  </r>
  <r>
    <s v="P004"/>
    <s v="Sneha Gupta"/>
    <n v="41"/>
    <x v="0"/>
    <x v="0"/>
    <s v="AB-"/>
    <s v="2024-01-12"/>
    <n v="55000"/>
  </r>
  <r>
    <s v="P005"/>
    <s v="Karan Malhotra"/>
    <n v="19"/>
    <x v="3"/>
    <x v="3"/>
    <s v="A-"/>
    <s v="2024-01-15"/>
    <n v="12000"/>
  </r>
  <r>
    <s v="P006"/>
    <s v="Anjali Desai"/>
    <n v="63"/>
    <x v="4"/>
    <x v="4"/>
    <s v="B-"/>
    <s v="2024-01-18"/>
    <n v="95000"/>
  </r>
  <r>
    <s v="P007"/>
    <s v="Vikram Nair"/>
    <n v="38"/>
    <x v="1"/>
    <x v="1"/>
    <s v="O+"/>
    <s v="2024-01-20"/>
    <n v="33000"/>
  </r>
  <r>
    <s v="P008"/>
    <s v="Meera Iyer"/>
    <n v="29"/>
    <x v="2"/>
    <x v="2"/>
    <s v="A+"/>
    <s v="2024-01-22"/>
    <n v="61000"/>
  </r>
  <r>
    <s v="P009"/>
    <s v="Arjun Reddy"/>
    <n v="47"/>
    <x v="4"/>
    <x v="4"/>
    <s v="AB+"/>
    <s v="2024-01-25"/>
    <n v="88000"/>
  </r>
  <r>
    <s v="P010"/>
    <s v="Kavya Nambiar"/>
    <n v="55"/>
    <x v="0"/>
    <x v="0"/>
    <s v="O-"/>
    <s v="2024-01-28"/>
    <n v="49000"/>
  </r>
  <r>
    <s v="P011"/>
    <s v="Suresh Kumar"/>
    <n v="31"/>
    <x v="3"/>
    <x v="3"/>
    <s v="B+"/>
    <s v="2024-02-01"/>
    <n v="15000"/>
  </r>
  <r>
    <s v="P012"/>
    <s v="Divya Menon"/>
    <n v="44"/>
    <x v="1"/>
    <x v="1"/>
    <s v="A+"/>
    <s v="2024-02-03"/>
    <n v="37000"/>
  </r>
  <r>
    <s v="P013"/>
    <s v="Rajesh Pillai"/>
    <n v="58"/>
    <x v="2"/>
    <x v="2"/>
    <s v="O+"/>
    <s v="2024-02-06"/>
    <n v="68000"/>
  </r>
  <r>
    <s v="P014"/>
    <s v="Pooja Agarwal"/>
    <n v="22"/>
    <x v="3"/>
    <x v="3"/>
    <s v="B-"/>
    <s v="2024-02-08"/>
    <n v="9500"/>
  </r>
  <r>
    <s v="P015"/>
    <s v="Nikhil Bose"/>
    <n v="36"/>
    <x v="0"/>
    <x v="0"/>
    <s v="A-"/>
    <s v="2024-02-10"/>
    <n v="5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AF3E6D-D104-4DAF-A0F3-1A01A272C12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D9" firstHeaderRow="0" firstDataRow="1" firstDataCol="1"/>
  <pivotFields count="8">
    <pivotField dataField="1" showAll="0"/>
    <pivotField showAll="0"/>
    <pivotField dataField="1" showAll="0"/>
    <pivotField axis="axisRow" showAll="0">
      <items count="6">
        <item sd="0" x="0"/>
        <item sd="0" x="3"/>
        <item sd="0" x="2"/>
        <item sd="0" x="4"/>
        <item sd="0" x="1"/>
        <item t="default"/>
      </items>
    </pivotField>
    <pivotField axis="axisRow" showAll="0">
      <items count="6">
        <item x="3"/>
        <item x="2"/>
        <item x="0"/>
        <item x="4"/>
        <item x="1"/>
        <item t="default"/>
      </items>
    </pivotField>
    <pivotField showAll="0"/>
    <pivotField showAll="0"/>
    <pivotField dataField="1" numFmtId="164" showAll="0"/>
  </pivotFields>
  <rowFields count="2">
    <field x="3"/>
    <field x="4"/>
  </rowFields>
  <rowItems count="6">
    <i>
      <x/>
    </i>
    <i>
      <x v="1"/>
    </i>
    <i>
      <x v="2"/>
    </i>
    <i>
      <x v="3"/>
    </i>
    <i>
      <x v="4"/>
    </i>
    <i t="grand">
      <x/>
    </i>
  </rowItems>
  <colFields count="1">
    <field x="-2"/>
  </colFields>
  <colItems count="3">
    <i>
      <x/>
    </i>
    <i i="1">
      <x v="1"/>
    </i>
    <i i="2">
      <x v="2"/>
    </i>
  </colItems>
  <dataFields count="3">
    <dataField name="Count of Patient ID" fld="0" subtotal="count" baseField="0" baseItem="0"/>
    <dataField name="Sum of Bill Amount ($)" fld="7" baseField="0" baseItem="0" numFmtId="164"/>
    <dataField name="Average of Age" fld="2"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1ACDCD-B97D-4961-A9C1-5051741FE0B5}" name="Table1" displayName="Table1" ref="I2:L17" totalsRowShown="0" headerRowDxfId="1" tableBorderDxfId="0">
  <autoFilter ref="I2:L17" xr:uid="{811ACDCD-B97D-4961-A9C1-5051741FE0B5}"/>
  <tableColumns count="4">
    <tableColumn id="1" xr3:uid="{BAE63983-7BD4-4B53-886B-D914F78F28C1}" name="Staff ID Badge">
      <calculatedColumnFormula>"CGH-"&amp; E3 &amp; "-" &amp; UPPER(D3)</calculatedColumnFormula>
    </tableColumn>
    <tableColumn id="2" xr3:uid="{DB5C5248-7133-4549-B670-892E3CBE0D50}" name="Email">
      <calculatedColumnFormula>LOWER(SUBSTITUTE(B3," ",".")&amp;"@gmail.com")</calculatedColumnFormula>
    </tableColumn>
    <tableColumn id="3" xr3:uid="{8829D593-557B-44EF-B51D-37B66304B241}" name="Full Pateint profile">
      <calculatedColumnFormula>B3&amp;"| ""age"&amp;C3&amp;"|"&amp;D3</calculatedColumnFormula>
    </tableColumn>
    <tableColumn id="4" xr3:uid="{CA4B0A30-7840-4563-B0CA-1E133827B759}" name="Doctor Info">
      <calculatedColumnFormula>E3 &amp; "-" &amp; D3</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649EA4-5B0C-4FDB-BDE8-728182940A79}" name="Table2" displayName="Table2" ref="J1:P3" totalsRowShown="0" headerRowCellStyle="40% - Accent4" dataCellStyle="40% - Accent4">
  <autoFilter ref="J1:P3" xr:uid="{8E649EA4-5B0C-4FDB-BDE8-728182940A79}"/>
  <tableColumns count="7">
    <tableColumn id="1" xr3:uid="{12C6CD7C-F3DF-4B83-8A8E-EE35440A88A4}" name="Column1" dataCellStyle="40% - Accent4">
      <calculatedColumnFormula>VLOOKUP(A7,$A$2:$H$17,6,FALSE())</calculatedColumnFormula>
    </tableColumn>
    <tableColumn id="2" xr3:uid="{92851E8B-7CA4-49C9-9CA0-2A65928269A5}" name="Column2" dataCellStyle="40% - Accent4">
      <calculatedColumnFormula>IFERROR(VLOOKUP("P999",$A$2:$H$17,2,FALSE()), "not found pateint")</calculatedColumnFormula>
    </tableColumn>
    <tableColumn id="3" xr3:uid="{6A3980C4-772F-4192-A8D5-3A9C814F9AD4}" name="Column3">
      <calculatedColumnFormula>_xlfn.XLOOKUP(A13,$A$3:$A$17,$G$3:$G$17,"not found")</calculatedColumnFormula>
    </tableColumn>
    <tableColumn id="4" xr3:uid="{BACA8F09-B2C1-4A50-9A56-F2A9770CE9A2}" name="Column4" dataCellStyle="40% - Accent4">
      <calculatedColumnFormula array="1">_xlfn.XLOOKUP(E7,E2:E16,D2:D16,not found)</calculatedColumnFormula>
    </tableColumn>
    <tableColumn id="5" xr3:uid="{598EA367-5EDE-44A7-890E-A0197EB4856F}" name="Column5" dataCellStyle="40% - Accent4">
      <calculatedColumnFormula>_xlfn.XLOOKUP(D2,D2:D16,H2:H16,"not found ", 0,-1 )</calculatedColumnFormula>
    </tableColumn>
    <tableColumn id="6" xr3:uid="{BF3E3575-8D6E-4624-BBD4-F4296246C81F}" name="vlookup" dataCellStyle="40% - Accent4">
      <calculatedColumnFormula>VLOOKUP(A9,A1:H16,5,FALSE)</calculatedColumnFormula>
    </tableColumn>
    <tableColumn id="7" xr3:uid="{82021BC8-9E38-4250-9BBA-AED9D82EE385}" name="xlookup" dataCellStyle="40% - Accent4">
      <calculatedColumnFormula>_xlfn.XLOOKUP(A9,A2:A16,E2:E16,"not found")</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AFBD-CCD4-49AE-B5BE-6D301F4E4380}">
  <dimension ref="A3:D9"/>
  <sheetViews>
    <sheetView workbookViewId="0">
      <selection activeCell="A8" sqref="A8"/>
    </sheetView>
  </sheetViews>
  <sheetFormatPr defaultRowHeight="15" x14ac:dyDescent="0.25"/>
  <cols>
    <col min="1" max="1" width="14" bestFit="1" customWidth="1"/>
    <col min="2" max="2" width="18" bestFit="1" customWidth="1"/>
    <col min="3" max="3" width="21.140625" bestFit="1" customWidth="1"/>
    <col min="4" max="4" width="14.5703125" bestFit="1" customWidth="1"/>
  </cols>
  <sheetData>
    <row r="3" spans="1:4" x14ac:dyDescent="0.25">
      <c r="A3" s="74" t="s">
        <v>4</v>
      </c>
      <c r="B3" t="s">
        <v>239</v>
      </c>
      <c r="C3" t="s">
        <v>241</v>
      </c>
      <c r="D3" t="s">
        <v>242</v>
      </c>
    </row>
    <row r="4" spans="1:4" x14ac:dyDescent="0.25">
      <c r="A4" s="75" t="s">
        <v>11</v>
      </c>
      <c r="B4" s="73">
        <v>4</v>
      </c>
      <c r="C4" s="76">
        <v>200000</v>
      </c>
      <c r="D4" s="73">
        <v>41.5</v>
      </c>
    </row>
    <row r="5" spans="1:4" x14ac:dyDescent="0.25">
      <c r="A5" s="75" t="s">
        <v>33</v>
      </c>
      <c r="B5" s="73">
        <v>3</v>
      </c>
      <c r="C5" s="76">
        <v>36500</v>
      </c>
      <c r="D5" s="73">
        <v>24</v>
      </c>
    </row>
    <row r="6" spans="1:4" x14ac:dyDescent="0.25">
      <c r="A6" s="75" t="s">
        <v>23</v>
      </c>
      <c r="B6" s="73">
        <v>3</v>
      </c>
      <c r="C6" s="76">
        <v>201000</v>
      </c>
      <c r="D6" s="73">
        <v>46.333333333333336</v>
      </c>
    </row>
    <row r="7" spans="1:4" x14ac:dyDescent="0.25">
      <c r="A7" s="75" t="s">
        <v>39</v>
      </c>
      <c r="B7" s="73">
        <v>2</v>
      </c>
      <c r="C7" s="76">
        <v>183000</v>
      </c>
      <c r="D7" s="73">
        <v>55</v>
      </c>
    </row>
    <row r="8" spans="1:4" x14ac:dyDescent="0.25">
      <c r="A8" s="75" t="s">
        <v>17</v>
      </c>
      <c r="B8" s="73">
        <v>3</v>
      </c>
      <c r="C8" s="76">
        <v>98000</v>
      </c>
      <c r="D8" s="73">
        <v>36.333333333333336</v>
      </c>
    </row>
    <row r="9" spans="1:4" x14ac:dyDescent="0.25">
      <c r="A9" s="75" t="s">
        <v>240</v>
      </c>
      <c r="B9" s="73">
        <v>15</v>
      </c>
      <c r="C9" s="76">
        <v>718500</v>
      </c>
      <c r="D9" s="73">
        <v>39.733333333333334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zoomScaleNormal="100" workbookViewId="0">
      <selection activeCell="E9" sqref="E9"/>
    </sheetView>
  </sheetViews>
  <sheetFormatPr defaultColWidth="8.7109375" defaultRowHeight="15" x14ac:dyDescent="0.25"/>
  <cols>
    <col min="1" max="1" width="12" customWidth="1"/>
    <col min="2" max="2" width="20" customWidth="1"/>
    <col min="3" max="3" width="8" customWidth="1"/>
    <col min="4" max="4" width="16" customWidth="1"/>
    <col min="5" max="5" width="18" customWidth="1"/>
    <col min="6" max="6" width="13" customWidth="1"/>
    <col min="7" max="8" width="16" customWidth="1"/>
    <col min="9" max="9" width="26.85546875" bestFit="1" customWidth="1"/>
    <col min="10" max="10" width="26" bestFit="1" customWidth="1"/>
    <col min="11" max="11" width="31.5703125" bestFit="1" customWidth="1"/>
    <col min="12" max="12" width="20.140625" bestFit="1" customWidth="1"/>
  </cols>
  <sheetData>
    <row r="1" spans="1:13" ht="31.5" customHeight="1" thickBot="1" x14ac:dyDescent="0.3">
      <c r="A1" s="47" t="s">
        <v>231</v>
      </c>
      <c r="B1" s="47"/>
      <c r="C1" s="47"/>
      <c r="D1" s="47"/>
      <c r="E1" s="47"/>
      <c r="F1" s="47"/>
      <c r="G1" s="47"/>
      <c r="H1" s="47"/>
      <c r="I1" s="48"/>
      <c r="J1" s="48"/>
      <c r="K1" s="48"/>
      <c r="L1" s="48"/>
    </row>
    <row r="2" spans="1:13" ht="21.75" customHeight="1" x14ac:dyDescent="0.25">
      <c r="A2" s="57" t="s">
        <v>1</v>
      </c>
      <c r="B2" s="58" t="s">
        <v>2</v>
      </c>
      <c r="C2" s="58" t="s">
        <v>3</v>
      </c>
      <c r="D2" s="58" t="s">
        <v>4</v>
      </c>
      <c r="E2" s="58" t="s">
        <v>5</v>
      </c>
      <c r="F2" s="58" t="s">
        <v>6</v>
      </c>
      <c r="G2" s="58" t="s">
        <v>7</v>
      </c>
      <c r="H2" s="71" t="s">
        <v>8</v>
      </c>
      <c r="I2" s="72" t="s">
        <v>229</v>
      </c>
      <c r="J2" s="72" t="s">
        <v>230</v>
      </c>
      <c r="K2" s="72" t="s">
        <v>232</v>
      </c>
      <c r="L2" s="72" t="s">
        <v>233</v>
      </c>
      <c r="M2" s="51"/>
    </row>
    <row r="3" spans="1:13" ht="15" customHeight="1" x14ac:dyDescent="0.25">
      <c r="A3" s="59" t="s">
        <v>9</v>
      </c>
      <c r="B3" s="17" t="s">
        <v>10</v>
      </c>
      <c r="C3" s="16">
        <v>34</v>
      </c>
      <c r="D3" s="17" t="s">
        <v>11</v>
      </c>
      <c r="E3" s="17" t="s">
        <v>12</v>
      </c>
      <c r="F3" s="16" t="s">
        <v>13</v>
      </c>
      <c r="G3" s="16" t="s">
        <v>14</v>
      </c>
      <c r="H3" s="60">
        <v>45000</v>
      </c>
      <c r="I3" s="49" t="str">
        <f>"CGH-"&amp; E3 &amp; "-" &amp; UPPER(D3)</f>
        <v>CGH-Dr. Mehta-CARDIOLOGY</v>
      </c>
      <c r="J3" s="49" t="str">
        <f>LOWER(SUBSTITUTE(B3," ",".")&amp;"@gmail.com")</f>
        <v>aarav.sharma@gmail.com</v>
      </c>
      <c r="K3" s="49" t="str">
        <f>B3&amp;"| ""age"&amp;C3&amp;"|"&amp;D3</f>
        <v>Aarav Sharma| "age34|Cardiology</v>
      </c>
      <c r="L3" s="49" t="str">
        <f>E3 &amp; "-" &amp; D3</f>
        <v>Dr. Mehta-Cardiology</v>
      </c>
      <c r="M3" s="53"/>
    </row>
    <row r="4" spans="1:13" ht="15" customHeight="1" x14ac:dyDescent="0.25">
      <c r="A4" s="61" t="s">
        <v>15</v>
      </c>
      <c r="B4" s="19" t="s">
        <v>16</v>
      </c>
      <c r="C4" s="18">
        <v>27</v>
      </c>
      <c r="D4" s="19" t="s">
        <v>17</v>
      </c>
      <c r="E4" s="19" t="s">
        <v>18</v>
      </c>
      <c r="F4" s="18" t="s">
        <v>19</v>
      </c>
      <c r="G4" s="18" t="s">
        <v>20</v>
      </c>
      <c r="H4" s="62">
        <v>28000</v>
      </c>
      <c r="I4" s="49" t="str">
        <f t="shared" ref="I4:I17" si="0">"CGH-"&amp; E4 &amp; "-" &amp; UPPER(D4)</f>
        <v>CGH-Dr. Singh-ORTHOPEDICS</v>
      </c>
      <c r="J4" s="49" t="str">
        <f t="shared" ref="J4:J17" si="1">LOWER(SUBSTITUTE(B4," ",".")&amp;"@gmail.com")</f>
        <v>priya.patel@gmail.com</v>
      </c>
      <c r="K4" s="49" t="str">
        <f t="shared" ref="K4:K17" si="2">B4&amp;"| ""age"&amp;C4&amp;"|"&amp;D4</f>
        <v>Priya Patel| "age27|Orthopedics</v>
      </c>
      <c r="L4" s="49" t="str">
        <f t="shared" ref="L4:L17" si="3">E4 &amp; "-" &amp; D4</f>
        <v>Dr. Singh-Orthopedics</v>
      </c>
      <c r="M4" s="53"/>
    </row>
    <row r="5" spans="1:13" ht="15" customHeight="1" x14ac:dyDescent="0.25">
      <c r="A5" s="63" t="s">
        <v>21</v>
      </c>
      <c r="B5" s="17" t="s">
        <v>22</v>
      </c>
      <c r="C5" s="16">
        <v>52</v>
      </c>
      <c r="D5" s="17" t="s">
        <v>23</v>
      </c>
      <c r="E5" s="17" t="s">
        <v>24</v>
      </c>
      <c r="F5" s="16" t="s">
        <v>25</v>
      </c>
      <c r="G5" s="16" t="s">
        <v>26</v>
      </c>
      <c r="H5" s="60">
        <v>72000</v>
      </c>
      <c r="I5" s="49" t="str">
        <f t="shared" si="0"/>
        <v>CGH-Dr. Kapoor-NEUROLOGY</v>
      </c>
      <c r="J5" s="49" t="str">
        <f t="shared" si="1"/>
        <v>rohan.verma@gmail.com</v>
      </c>
      <c r="K5" s="49" t="str">
        <f t="shared" si="2"/>
        <v>Rohan Verma| "age52|Neurology</v>
      </c>
      <c r="L5" s="49" t="str">
        <f t="shared" si="3"/>
        <v>Dr. Kapoor-Neurology</v>
      </c>
      <c r="M5" s="53"/>
    </row>
    <row r="6" spans="1:13" ht="15" customHeight="1" x14ac:dyDescent="0.25">
      <c r="A6" s="64" t="s">
        <v>27</v>
      </c>
      <c r="B6" s="19" t="s">
        <v>28</v>
      </c>
      <c r="C6" s="18">
        <v>41</v>
      </c>
      <c r="D6" s="19" t="s">
        <v>11</v>
      </c>
      <c r="E6" s="19" t="s">
        <v>12</v>
      </c>
      <c r="F6" s="18" t="s">
        <v>29</v>
      </c>
      <c r="G6" s="18" t="s">
        <v>30</v>
      </c>
      <c r="H6" s="62">
        <v>55000</v>
      </c>
      <c r="I6" s="49" t="str">
        <f t="shared" si="0"/>
        <v>CGH-Dr. Mehta-CARDIOLOGY</v>
      </c>
      <c r="J6" s="49" t="str">
        <f t="shared" si="1"/>
        <v>sneha.gupta@gmail.com</v>
      </c>
      <c r="K6" s="49" t="str">
        <f t="shared" si="2"/>
        <v>Sneha Gupta| "age41|Cardiology</v>
      </c>
      <c r="L6" s="49" t="str">
        <f t="shared" si="3"/>
        <v>Dr. Mehta-Cardiology</v>
      </c>
      <c r="M6" s="53"/>
    </row>
    <row r="7" spans="1:13" ht="15" customHeight="1" x14ac:dyDescent="0.25">
      <c r="A7" s="63" t="s">
        <v>31</v>
      </c>
      <c r="B7" s="17" t="s">
        <v>32</v>
      </c>
      <c r="C7" s="16">
        <v>19</v>
      </c>
      <c r="D7" s="17" t="s">
        <v>33</v>
      </c>
      <c r="E7" s="17" t="s">
        <v>34</v>
      </c>
      <c r="F7" s="16" t="s">
        <v>35</v>
      </c>
      <c r="G7" s="16" t="s">
        <v>36</v>
      </c>
      <c r="H7" s="60">
        <v>12000</v>
      </c>
      <c r="I7" s="49" t="str">
        <f t="shared" si="0"/>
        <v>CGH-Dr. Joshi-GENERAL</v>
      </c>
      <c r="J7" s="49" t="str">
        <f t="shared" si="1"/>
        <v>karan.malhotra@gmail.com</v>
      </c>
      <c r="K7" s="49" t="str">
        <f t="shared" si="2"/>
        <v>Karan Malhotra| "age19|General</v>
      </c>
      <c r="L7" s="49" t="str">
        <f t="shared" si="3"/>
        <v>Dr. Joshi-General</v>
      </c>
      <c r="M7" s="53"/>
    </row>
    <row r="8" spans="1:13" ht="15" customHeight="1" x14ac:dyDescent="0.25">
      <c r="A8" s="64" t="s">
        <v>37</v>
      </c>
      <c r="B8" s="19" t="s">
        <v>38</v>
      </c>
      <c r="C8" s="18">
        <v>63</v>
      </c>
      <c r="D8" s="19" t="s">
        <v>39</v>
      </c>
      <c r="E8" s="19" t="s">
        <v>40</v>
      </c>
      <c r="F8" s="18" t="s">
        <v>41</v>
      </c>
      <c r="G8" s="18" t="s">
        <v>42</v>
      </c>
      <c r="H8" s="62">
        <v>95000</v>
      </c>
      <c r="I8" s="49" t="str">
        <f t="shared" si="0"/>
        <v>CGH-Dr. Rao-ONCOLOGY</v>
      </c>
      <c r="J8" s="49" t="str">
        <f t="shared" si="1"/>
        <v>anjali.desai@gmail.com</v>
      </c>
      <c r="K8" s="49" t="str">
        <f t="shared" si="2"/>
        <v>Anjali Desai| "age63|Oncology</v>
      </c>
      <c r="L8" s="52" t="str">
        <f t="shared" si="3"/>
        <v>Dr. Rao-Oncology</v>
      </c>
      <c r="M8" s="53"/>
    </row>
    <row r="9" spans="1:13" ht="15" customHeight="1" x14ac:dyDescent="0.25">
      <c r="A9" s="63" t="s">
        <v>43</v>
      </c>
      <c r="B9" s="17" t="s">
        <v>44</v>
      </c>
      <c r="C9" s="16">
        <v>38</v>
      </c>
      <c r="D9" s="17" t="s">
        <v>17</v>
      </c>
      <c r="E9" s="17" t="s">
        <v>18</v>
      </c>
      <c r="F9" s="16" t="s">
        <v>25</v>
      </c>
      <c r="G9" s="16" t="s">
        <v>45</v>
      </c>
      <c r="H9" s="60">
        <v>33000</v>
      </c>
      <c r="I9" s="49" t="str">
        <f t="shared" si="0"/>
        <v>CGH-Dr. Singh-ORTHOPEDICS</v>
      </c>
      <c r="J9" s="49" t="str">
        <f t="shared" si="1"/>
        <v>vikram.nair@gmail.com</v>
      </c>
      <c r="K9" s="49" t="str">
        <f t="shared" si="2"/>
        <v>Vikram Nair| "age38|Orthopedics</v>
      </c>
      <c r="L9" s="49" t="str">
        <f t="shared" si="3"/>
        <v>Dr. Singh-Orthopedics</v>
      </c>
      <c r="M9" s="53"/>
    </row>
    <row r="10" spans="1:13" ht="15" customHeight="1" x14ac:dyDescent="0.25">
      <c r="A10" s="64" t="s">
        <v>46</v>
      </c>
      <c r="B10" s="19" t="s">
        <v>47</v>
      </c>
      <c r="C10" s="18">
        <v>29</v>
      </c>
      <c r="D10" s="19" t="s">
        <v>23</v>
      </c>
      <c r="E10" s="19" t="s">
        <v>24</v>
      </c>
      <c r="F10" s="18" t="s">
        <v>13</v>
      </c>
      <c r="G10" s="18" t="s">
        <v>48</v>
      </c>
      <c r="H10" s="62">
        <v>61000</v>
      </c>
      <c r="I10" s="49" t="str">
        <f t="shared" si="0"/>
        <v>CGH-Dr. Kapoor-NEUROLOGY</v>
      </c>
      <c r="J10" s="49" t="str">
        <f t="shared" si="1"/>
        <v>meera.iyer@gmail.com</v>
      </c>
      <c r="K10" s="49" t="str">
        <f t="shared" si="2"/>
        <v>Meera Iyer| "age29|Neurology</v>
      </c>
      <c r="L10" s="49" t="str">
        <f t="shared" si="3"/>
        <v>Dr. Kapoor-Neurology</v>
      </c>
      <c r="M10" s="53"/>
    </row>
    <row r="11" spans="1:13" ht="15" customHeight="1" x14ac:dyDescent="0.25">
      <c r="A11" s="63" t="s">
        <v>49</v>
      </c>
      <c r="B11" s="17" t="s">
        <v>50</v>
      </c>
      <c r="C11" s="16">
        <v>47</v>
      </c>
      <c r="D11" s="17" t="s">
        <v>39</v>
      </c>
      <c r="E11" s="17" t="s">
        <v>40</v>
      </c>
      <c r="F11" s="16" t="s">
        <v>51</v>
      </c>
      <c r="G11" s="16" t="s">
        <v>52</v>
      </c>
      <c r="H11" s="60">
        <v>88000</v>
      </c>
      <c r="I11" s="49" t="str">
        <f t="shared" si="0"/>
        <v>CGH-Dr. Rao-ONCOLOGY</v>
      </c>
      <c r="J11" s="49" t="str">
        <f t="shared" si="1"/>
        <v>arjun.reddy@gmail.com</v>
      </c>
      <c r="K11" s="49" t="str">
        <f t="shared" si="2"/>
        <v>Arjun Reddy| "age47|Oncology</v>
      </c>
      <c r="L11" s="49" t="str">
        <f t="shared" si="3"/>
        <v>Dr. Rao-Oncology</v>
      </c>
      <c r="M11" s="53"/>
    </row>
    <row r="12" spans="1:13" ht="15" customHeight="1" x14ac:dyDescent="0.25">
      <c r="A12" s="64" t="s">
        <v>53</v>
      </c>
      <c r="B12" s="19" t="s">
        <v>54</v>
      </c>
      <c r="C12" s="18">
        <v>55</v>
      </c>
      <c r="D12" s="19" t="s">
        <v>11</v>
      </c>
      <c r="E12" s="19" t="s">
        <v>12</v>
      </c>
      <c r="F12" s="18" t="s">
        <v>55</v>
      </c>
      <c r="G12" s="18" t="s">
        <v>56</v>
      </c>
      <c r="H12" s="65">
        <v>49000</v>
      </c>
      <c r="I12" s="49" t="str">
        <f t="shared" si="0"/>
        <v>CGH-Dr. Mehta-CARDIOLOGY</v>
      </c>
      <c r="J12" s="49" t="str">
        <f t="shared" si="1"/>
        <v>kavya.nambiar@gmail.com</v>
      </c>
      <c r="K12" s="49" t="str">
        <f t="shared" si="2"/>
        <v>Kavya Nambiar| "age55|Cardiology</v>
      </c>
      <c r="L12" s="49" t="str">
        <f t="shared" si="3"/>
        <v>Dr. Mehta-Cardiology</v>
      </c>
      <c r="M12" s="53"/>
    </row>
    <row r="13" spans="1:13" ht="15" customHeight="1" x14ac:dyDescent="0.25">
      <c r="A13" s="63" t="s">
        <v>57</v>
      </c>
      <c r="B13" s="17" t="s">
        <v>58</v>
      </c>
      <c r="C13" s="16">
        <v>31</v>
      </c>
      <c r="D13" s="17" t="s">
        <v>33</v>
      </c>
      <c r="E13" s="17" t="s">
        <v>34</v>
      </c>
      <c r="F13" s="16" t="s">
        <v>19</v>
      </c>
      <c r="G13" s="16" t="s">
        <v>59</v>
      </c>
      <c r="H13" s="66">
        <v>15000</v>
      </c>
      <c r="I13" s="49" t="str">
        <f t="shared" si="0"/>
        <v>CGH-Dr. Joshi-GENERAL</v>
      </c>
      <c r="J13" s="49" t="str">
        <f t="shared" si="1"/>
        <v>suresh.kumar@gmail.com</v>
      </c>
      <c r="K13" s="49" t="str">
        <f t="shared" si="2"/>
        <v>Suresh Kumar| "age31|General</v>
      </c>
      <c r="L13" s="49" t="str">
        <f t="shared" si="3"/>
        <v>Dr. Joshi-General</v>
      </c>
      <c r="M13" s="53"/>
    </row>
    <row r="14" spans="1:13" ht="15" customHeight="1" x14ac:dyDescent="0.25">
      <c r="A14" s="64" t="s">
        <v>60</v>
      </c>
      <c r="B14" s="19" t="s">
        <v>61</v>
      </c>
      <c r="C14" s="18">
        <v>44</v>
      </c>
      <c r="D14" s="19" t="s">
        <v>17</v>
      </c>
      <c r="E14" s="19" t="s">
        <v>18</v>
      </c>
      <c r="F14" s="18" t="s">
        <v>13</v>
      </c>
      <c r="G14" s="18" t="s">
        <v>62</v>
      </c>
      <c r="H14" s="62">
        <v>37000</v>
      </c>
      <c r="I14" s="49" t="str">
        <f t="shared" si="0"/>
        <v>CGH-Dr. Singh-ORTHOPEDICS</v>
      </c>
      <c r="J14" s="49" t="str">
        <f t="shared" si="1"/>
        <v>divya.menon@gmail.com</v>
      </c>
      <c r="K14" s="49" t="str">
        <f t="shared" si="2"/>
        <v>Divya Menon| "age44|Orthopedics</v>
      </c>
      <c r="L14" s="49" t="str">
        <f t="shared" si="3"/>
        <v>Dr. Singh-Orthopedics</v>
      </c>
      <c r="M14" s="53"/>
    </row>
    <row r="15" spans="1:13" ht="15" customHeight="1" x14ac:dyDescent="0.25">
      <c r="A15" s="63" t="s">
        <v>63</v>
      </c>
      <c r="B15" s="17" t="s">
        <v>64</v>
      </c>
      <c r="C15" s="16">
        <v>58</v>
      </c>
      <c r="D15" s="17" t="s">
        <v>23</v>
      </c>
      <c r="E15" s="17" t="s">
        <v>24</v>
      </c>
      <c r="F15" s="16" t="s">
        <v>25</v>
      </c>
      <c r="G15" s="16" t="s">
        <v>65</v>
      </c>
      <c r="H15" s="60">
        <v>68000</v>
      </c>
      <c r="I15" s="49" t="str">
        <f t="shared" si="0"/>
        <v>CGH-Dr. Kapoor-NEUROLOGY</v>
      </c>
      <c r="J15" s="49" t="str">
        <f t="shared" si="1"/>
        <v>rajesh.pillai@gmail.com</v>
      </c>
      <c r="K15" s="49" t="str">
        <f t="shared" si="2"/>
        <v>Rajesh Pillai| "age58|Neurology</v>
      </c>
      <c r="L15" s="49" t="str">
        <f t="shared" si="3"/>
        <v>Dr. Kapoor-Neurology</v>
      </c>
      <c r="M15" s="53"/>
    </row>
    <row r="16" spans="1:13" ht="15" customHeight="1" x14ac:dyDescent="0.25">
      <c r="A16" s="64" t="s">
        <v>66</v>
      </c>
      <c r="B16" s="19" t="s">
        <v>67</v>
      </c>
      <c r="C16" s="18">
        <v>22</v>
      </c>
      <c r="D16" s="19" t="s">
        <v>33</v>
      </c>
      <c r="E16" s="19" t="s">
        <v>34</v>
      </c>
      <c r="F16" s="18" t="s">
        <v>41</v>
      </c>
      <c r="G16" s="18" t="s">
        <v>68</v>
      </c>
      <c r="H16" s="62">
        <v>9500</v>
      </c>
      <c r="I16" s="49" t="str">
        <f t="shared" si="0"/>
        <v>CGH-Dr. Joshi-GENERAL</v>
      </c>
      <c r="J16" s="49" t="str">
        <f t="shared" si="1"/>
        <v>pooja.agarwal@gmail.com</v>
      </c>
      <c r="K16" s="49" t="str">
        <f t="shared" si="2"/>
        <v>Pooja Agarwal| "age22|General</v>
      </c>
      <c r="L16" s="49" t="str">
        <f t="shared" si="3"/>
        <v>Dr. Joshi-General</v>
      </c>
      <c r="M16" s="53"/>
    </row>
    <row r="17" spans="1:13" ht="15" customHeight="1" thickBot="1" x14ac:dyDescent="0.3">
      <c r="A17" s="67" t="s">
        <v>69</v>
      </c>
      <c r="B17" s="68" t="s">
        <v>70</v>
      </c>
      <c r="C17" s="69">
        <v>36</v>
      </c>
      <c r="D17" s="68" t="s">
        <v>11</v>
      </c>
      <c r="E17" s="68" t="s">
        <v>12</v>
      </c>
      <c r="F17" s="69" t="s">
        <v>35</v>
      </c>
      <c r="G17" s="69" t="s">
        <v>71</v>
      </c>
      <c r="H17" s="70">
        <v>51000</v>
      </c>
      <c r="I17" s="49" t="str">
        <f t="shared" si="0"/>
        <v>CGH-Dr. Mehta-CARDIOLOGY</v>
      </c>
      <c r="J17" s="49" t="str">
        <f t="shared" si="1"/>
        <v>nikhil.bose@gmail.com</v>
      </c>
      <c r="K17" s="49" t="str">
        <f t="shared" si="2"/>
        <v>Nikhil Bose| "age36|Cardiology</v>
      </c>
      <c r="L17" s="49" t="str">
        <f t="shared" si="3"/>
        <v>Dr. Mehta-Cardiology</v>
      </c>
      <c r="M17" s="53"/>
    </row>
    <row r="18" spans="1:13" x14ac:dyDescent="0.25">
      <c r="I18" s="54"/>
      <c r="J18" s="55"/>
      <c r="K18" s="55"/>
      <c r="L18" s="55"/>
      <c r="M18" s="56"/>
    </row>
    <row r="20" spans="1:13" x14ac:dyDescent="0.25">
      <c r="I20" s="50"/>
    </row>
  </sheetData>
  <mergeCells count="1">
    <mergeCell ref="A1:H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tabSelected="1" zoomScaleNormal="100" workbookViewId="0">
      <selection activeCell="B20" sqref="B20:G20"/>
    </sheetView>
  </sheetViews>
  <sheetFormatPr defaultColWidth="8.7109375" defaultRowHeight="15" x14ac:dyDescent="0.25"/>
  <cols>
    <col min="1" max="1" width="22" customWidth="1"/>
    <col min="2" max="2" width="14" customWidth="1"/>
    <col min="3" max="3" width="20" customWidth="1"/>
    <col min="4" max="4" width="8" customWidth="1"/>
    <col min="5" max="5" width="16" customWidth="1"/>
    <col min="6" max="6" width="18" customWidth="1"/>
    <col min="7" max="7" width="16" customWidth="1"/>
  </cols>
  <sheetData>
    <row r="1" spans="1:7" ht="31.5" customHeight="1" x14ac:dyDescent="0.25">
      <c r="A1" s="14" t="s">
        <v>72</v>
      </c>
      <c r="B1" s="14"/>
      <c r="C1" s="14"/>
      <c r="D1" s="14"/>
      <c r="E1" s="14"/>
      <c r="F1" s="14"/>
      <c r="G1" s="14"/>
    </row>
    <row r="3" spans="1:7" ht="15" customHeight="1" x14ac:dyDescent="0.25">
      <c r="A3" s="13" t="s">
        <v>73</v>
      </c>
      <c r="B3" s="13"/>
      <c r="C3" s="13"/>
      <c r="D3" s="13"/>
      <c r="E3" s="13"/>
      <c r="F3" s="13"/>
      <c r="G3" s="13"/>
    </row>
    <row r="4" spans="1:7" ht="15" customHeight="1" x14ac:dyDescent="0.25">
      <c r="A4" s="20" t="s">
        <v>74</v>
      </c>
      <c r="B4" s="21" t="s">
        <v>75</v>
      </c>
      <c r="C4" s="12" t="s">
        <v>76</v>
      </c>
      <c r="D4" s="12"/>
      <c r="E4" s="12"/>
      <c r="F4" s="12"/>
      <c r="G4" s="12"/>
    </row>
    <row r="5" spans="1:7" ht="15" customHeight="1" x14ac:dyDescent="0.25">
      <c r="A5" s="22" t="s">
        <v>74</v>
      </c>
      <c r="B5" s="23" t="s">
        <v>77</v>
      </c>
      <c r="C5" s="11" t="s">
        <v>78</v>
      </c>
      <c r="D5" s="11"/>
      <c r="E5" s="11"/>
      <c r="F5" s="11"/>
      <c r="G5" s="11"/>
    </row>
    <row r="6" spans="1:7" ht="15" customHeight="1" x14ac:dyDescent="0.25">
      <c r="A6" s="20" t="s">
        <v>74</v>
      </c>
      <c r="B6" s="21" t="s">
        <v>79</v>
      </c>
      <c r="C6" s="12" t="s">
        <v>80</v>
      </c>
      <c r="D6" s="12"/>
      <c r="E6" s="12"/>
      <c r="F6" s="12"/>
      <c r="G6" s="12"/>
    </row>
    <row r="7" spans="1:7" ht="15" customHeight="1" x14ac:dyDescent="0.25">
      <c r="A7" s="22" t="s">
        <v>74</v>
      </c>
      <c r="B7" s="23" t="s">
        <v>81</v>
      </c>
      <c r="C7" s="11" t="s">
        <v>82</v>
      </c>
      <c r="D7" s="11"/>
      <c r="E7" s="11"/>
      <c r="F7" s="11"/>
      <c r="G7" s="11"/>
    </row>
    <row r="8" spans="1:7" ht="15" customHeight="1" x14ac:dyDescent="0.25">
      <c r="A8" s="20" t="s">
        <v>83</v>
      </c>
      <c r="B8" s="21" t="s">
        <v>84</v>
      </c>
      <c r="C8" s="12" t="s">
        <v>85</v>
      </c>
      <c r="D8" s="12"/>
      <c r="E8" s="12"/>
      <c r="F8" s="12"/>
      <c r="G8" s="12"/>
    </row>
    <row r="9" spans="1:7" ht="4.5" customHeight="1" x14ac:dyDescent="0.25"/>
    <row r="10" spans="1:7" ht="15" customHeight="1" x14ac:dyDescent="0.25">
      <c r="A10" s="10" t="s">
        <v>86</v>
      </c>
      <c r="B10" s="10"/>
      <c r="C10" s="10"/>
      <c r="D10" s="10"/>
      <c r="E10" s="10"/>
      <c r="F10" s="10"/>
      <c r="G10" s="10"/>
    </row>
    <row r="11" spans="1:7" ht="15" customHeight="1" x14ac:dyDescent="0.25">
      <c r="A11" s="15" t="s">
        <v>87</v>
      </c>
      <c r="B11" s="15"/>
      <c r="C11" s="15" t="s">
        <v>2</v>
      </c>
      <c r="D11" s="15" t="s">
        <v>3</v>
      </c>
      <c r="E11" s="15" t="s">
        <v>4</v>
      </c>
      <c r="F11" s="15" t="s">
        <v>88</v>
      </c>
      <c r="G11" s="15" t="s">
        <v>8</v>
      </c>
    </row>
    <row r="12" spans="1:7" ht="15" customHeight="1" x14ac:dyDescent="0.25">
      <c r="A12" s="24" t="s">
        <v>31</v>
      </c>
      <c r="B12" s="25"/>
      <c r="C12" s="26" t="str">
        <f>IFERROR(VLOOKUP(A12,Patient_Database!$A$3:$H$17,2,FALSE()),"Not Found")</f>
        <v>Karan Malhotra</v>
      </c>
      <c r="D12" s="26">
        <f>IFERROR(VLOOKUP(A12,Patient_Database!$A$3:$H$17,3,FALSE()),"Not Found")</f>
        <v>19</v>
      </c>
      <c r="E12" s="26" t="str">
        <f>IFERROR(VLOOKUP(A12,Patient_Database!$A$3:$H$17,4,FALSE()),"Not Found")</f>
        <v>General</v>
      </c>
      <c r="F12" s="26" t="str">
        <f>IFERROR(VLOOKUP(A12,Patient_Database!$A$3:$H$17,5,FALSE()),"Not Found")</f>
        <v>Dr. Joshi</v>
      </c>
      <c r="G12" s="27">
        <f>IFERROR(VLOOKUP(A12,Patient_Database!$A$3:$H$17,8,FALSE()),"Not Found")</f>
        <v>12000</v>
      </c>
    </row>
    <row r="14" spans="1:7" ht="4.5" customHeight="1" x14ac:dyDescent="0.25"/>
    <row r="15" spans="1:7" ht="15" customHeight="1" x14ac:dyDescent="0.25">
      <c r="A15" s="13" t="s">
        <v>89</v>
      </c>
      <c r="B15" s="13"/>
      <c r="C15" s="13"/>
      <c r="D15" s="13"/>
      <c r="E15" s="13"/>
      <c r="F15" s="13"/>
      <c r="G15" s="13"/>
    </row>
    <row r="16" spans="1:7" ht="19.5" customHeight="1" x14ac:dyDescent="0.25">
      <c r="A16" s="28" t="s">
        <v>90</v>
      </c>
      <c r="B16" s="9" t="s">
        <v>91</v>
      </c>
      <c r="C16" s="9"/>
      <c r="D16" s="9"/>
      <c r="E16" s="9"/>
      <c r="F16" s="9"/>
      <c r="G16" s="9"/>
    </row>
    <row r="17" spans="1:7" ht="19.5" customHeight="1" x14ac:dyDescent="0.25">
      <c r="A17" s="29" t="s">
        <v>75</v>
      </c>
      <c r="B17" s="8" t="s">
        <v>92</v>
      </c>
      <c r="C17" s="8"/>
      <c r="D17" s="8"/>
      <c r="E17" s="8"/>
      <c r="F17" s="8"/>
      <c r="G17" s="8"/>
    </row>
    <row r="18" spans="1:7" ht="19.5" customHeight="1" x14ac:dyDescent="0.25">
      <c r="A18" s="28" t="s">
        <v>77</v>
      </c>
      <c r="B18" s="9" t="s">
        <v>93</v>
      </c>
      <c r="C18" s="9"/>
      <c r="D18" s="9"/>
      <c r="E18" s="9"/>
      <c r="F18" s="9"/>
      <c r="G18" s="9"/>
    </row>
    <row r="19" spans="1:7" ht="19.5" customHeight="1" x14ac:dyDescent="0.25">
      <c r="A19" s="29" t="s">
        <v>79</v>
      </c>
      <c r="B19" s="8" t="s">
        <v>94</v>
      </c>
      <c r="C19" s="8"/>
      <c r="D19" s="8"/>
      <c r="E19" s="8"/>
      <c r="F19" s="8"/>
      <c r="G19" s="8"/>
    </row>
    <row r="20" spans="1:7" ht="19.5" customHeight="1" x14ac:dyDescent="0.25">
      <c r="A20" s="28" t="s">
        <v>81</v>
      </c>
      <c r="B20" s="9" t="s">
        <v>95</v>
      </c>
      <c r="C20" s="9"/>
      <c r="D20" s="9"/>
      <c r="E20" s="9"/>
      <c r="F20" s="9"/>
      <c r="G20" s="9"/>
    </row>
    <row r="21" spans="1:7" ht="19.5" customHeight="1" x14ac:dyDescent="0.25">
      <c r="A21" s="29" t="s">
        <v>96</v>
      </c>
      <c r="B21" s="8" t="s">
        <v>97</v>
      </c>
      <c r="C21" s="8"/>
      <c r="D21" s="8"/>
      <c r="E21" s="8"/>
      <c r="F21" s="8"/>
      <c r="G21" s="8"/>
    </row>
  </sheetData>
  <mergeCells count="15">
    <mergeCell ref="B17:G17"/>
    <mergeCell ref="B18:G18"/>
    <mergeCell ref="B19:G19"/>
    <mergeCell ref="B20:G20"/>
    <mergeCell ref="B21:G21"/>
    <mergeCell ref="C7:G7"/>
    <mergeCell ref="C8:G8"/>
    <mergeCell ref="A10:G10"/>
    <mergeCell ref="A15:G15"/>
    <mergeCell ref="B16:G16"/>
    <mergeCell ref="A1:G1"/>
    <mergeCell ref="A3:G3"/>
    <mergeCell ref="C4:G4"/>
    <mergeCell ref="C5:G5"/>
    <mergeCell ref="C6:G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zoomScaleNormal="100" workbookViewId="0">
      <selection sqref="A1:H1"/>
    </sheetView>
  </sheetViews>
  <sheetFormatPr defaultColWidth="8.7109375" defaultRowHeight="15" x14ac:dyDescent="0.25"/>
  <cols>
    <col min="1" max="1" width="16" customWidth="1"/>
    <col min="2" max="2" width="22" customWidth="1"/>
    <col min="3" max="3" width="8" customWidth="1"/>
    <col min="4" max="4" width="16" customWidth="1"/>
    <col min="5" max="5" width="18" customWidth="1"/>
    <col min="6" max="6" width="13" customWidth="1"/>
    <col min="7" max="7" width="16" customWidth="1"/>
    <col min="8" max="8" width="14" customWidth="1"/>
  </cols>
  <sheetData>
    <row r="1" spans="1:8" ht="31.5" customHeight="1" x14ac:dyDescent="0.25">
      <c r="A1" s="14" t="s">
        <v>98</v>
      </c>
      <c r="B1" s="14"/>
      <c r="C1" s="14"/>
      <c r="D1" s="14"/>
      <c r="E1" s="14"/>
      <c r="F1" s="14"/>
      <c r="G1" s="14"/>
      <c r="H1" s="14"/>
    </row>
    <row r="3" spans="1:8" ht="15" customHeight="1" x14ac:dyDescent="0.25">
      <c r="A3" s="13" t="s">
        <v>99</v>
      </c>
      <c r="B3" s="13"/>
      <c r="C3" s="13"/>
      <c r="D3" s="13"/>
      <c r="E3" s="13"/>
      <c r="F3" s="13"/>
      <c r="G3" s="13"/>
      <c r="H3" s="13"/>
    </row>
    <row r="4" spans="1:8" ht="15" customHeight="1" x14ac:dyDescent="0.25">
      <c r="A4" s="20" t="s">
        <v>74</v>
      </c>
      <c r="B4" s="21" t="s">
        <v>75</v>
      </c>
      <c r="C4" s="12" t="s">
        <v>100</v>
      </c>
      <c r="D4" s="12"/>
      <c r="E4" s="12"/>
      <c r="F4" s="12"/>
      <c r="G4" s="12"/>
      <c r="H4" s="12"/>
    </row>
    <row r="5" spans="1:8" ht="15" customHeight="1" x14ac:dyDescent="0.25">
      <c r="A5" s="22" t="s">
        <v>74</v>
      </c>
      <c r="B5" s="23" t="s">
        <v>101</v>
      </c>
      <c r="C5" s="11" t="s">
        <v>102</v>
      </c>
      <c r="D5" s="11"/>
      <c r="E5" s="11"/>
      <c r="F5" s="11"/>
      <c r="G5" s="11"/>
      <c r="H5" s="11"/>
    </row>
    <row r="6" spans="1:8" ht="15" customHeight="1" x14ac:dyDescent="0.25">
      <c r="A6" s="20" t="s">
        <v>74</v>
      </c>
      <c r="B6" s="21" t="s">
        <v>103</v>
      </c>
      <c r="C6" s="12" t="s">
        <v>104</v>
      </c>
      <c r="D6" s="12"/>
      <c r="E6" s="12"/>
      <c r="F6" s="12"/>
      <c r="G6" s="12"/>
      <c r="H6" s="12"/>
    </row>
    <row r="7" spans="1:8" ht="15" customHeight="1" x14ac:dyDescent="0.25">
      <c r="A7" s="22" t="s">
        <v>74</v>
      </c>
      <c r="B7" s="23" t="s">
        <v>105</v>
      </c>
      <c r="C7" s="11" t="s">
        <v>106</v>
      </c>
      <c r="D7" s="11"/>
      <c r="E7" s="11"/>
      <c r="F7" s="11"/>
      <c r="G7" s="11"/>
      <c r="H7" s="11"/>
    </row>
    <row r="8" spans="1:8" ht="15" customHeight="1" x14ac:dyDescent="0.25">
      <c r="A8" s="20" t="s">
        <v>74</v>
      </c>
      <c r="B8" s="21" t="s">
        <v>107</v>
      </c>
      <c r="C8" s="12" t="s">
        <v>108</v>
      </c>
      <c r="D8" s="12"/>
      <c r="E8" s="12"/>
      <c r="F8" s="12"/>
      <c r="G8" s="12"/>
      <c r="H8" s="12"/>
    </row>
    <row r="9" spans="1:8" ht="15" customHeight="1" x14ac:dyDescent="0.25">
      <c r="A9" s="22" t="s">
        <v>74</v>
      </c>
      <c r="B9" s="23" t="s">
        <v>109</v>
      </c>
      <c r="C9" s="11" t="s">
        <v>110</v>
      </c>
      <c r="D9" s="11"/>
      <c r="E9" s="11"/>
      <c r="F9" s="11"/>
      <c r="G9" s="11"/>
      <c r="H9" s="11"/>
    </row>
    <row r="10" spans="1:8" ht="15" customHeight="1" x14ac:dyDescent="0.25">
      <c r="A10" s="20" t="s">
        <v>111</v>
      </c>
      <c r="B10" s="21" t="s">
        <v>112</v>
      </c>
      <c r="C10" s="12" t="s">
        <v>113</v>
      </c>
      <c r="D10" s="12"/>
      <c r="E10" s="12"/>
      <c r="F10" s="12"/>
      <c r="G10" s="12"/>
      <c r="H10" s="12"/>
    </row>
    <row r="11" spans="1:8" ht="4.5" customHeight="1" x14ac:dyDescent="0.25"/>
    <row r="12" spans="1:8" ht="15" customHeight="1" x14ac:dyDescent="0.25">
      <c r="A12" s="10" t="s">
        <v>114</v>
      </c>
      <c r="B12" s="10"/>
      <c r="C12" s="10"/>
      <c r="D12" s="10"/>
      <c r="E12" s="10"/>
      <c r="F12" s="10"/>
      <c r="G12" s="10"/>
      <c r="H12" s="10"/>
    </row>
    <row r="13" spans="1:8" ht="15" customHeight="1" x14ac:dyDescent="0.25">
      <c r="A13" s="15" t="s">
        <v>115</v>
      </c>
      <c r="B13" s="15" t="s">
        <v>2</v>
      </c>
      <c r="C13" s="15" t="s">
        <v>3</v>
      </c>
      <c r="D13" s="15" t="s">
        <v>4</v>
      </c>
      <c r="E13" s="15" t="s">
        <v>88</v>
      </c>
      <c r="F13" s="15" t="s">
        <v>6</v>
      </c>
      <c r="G13" s="15" t="s">
        <v>7</v>
      </c>
      <c r="H13" s="15" t="s">
        <v>116</v>
      </c>
    </row>
    <row r="14" spans="1:8" ht="15" customHeight="1" x14ac:dyDescent="0.25">
      <c r="A14" s="24" t="s">
        <v>49</v>
      </c>
      <c r="B14" s="30" t="s">
        <v>117</v>
      </c>
      <c r="C14" s="30" t="s">
        <v>118</v>
      </c>
      <c r="D14" s="30" t="s">
        <v>119</v>
      </c>
      <c r="E14" s="30" t="s">
        <v>120</v>
      </c>
      <c r="F14" s="30" t="s">
        <v>121</v>
      </c>
      <c r="G14" s="30" t="s">
        <v>122</v>
      </c>
      <c r="H14" s="31" t="s">
        <v>123</v>
      </c>
    </row>
    <row r="16" spans="1:8" ht="4.5" customHeight="1" x14ac:dyDescent="0.25"/>
    <row r="17" spans="1:8" ht="15" customHeight="1" x14ac:dyDescent="0.25">
      <c r="A17" s="13" t="s">
        <v>124</v>
      </c>
      <c r="B17" s="13"/>
      <c r="C17" s="13"/>
      <c r="D17" s="13"/>
      <c r="E17" s="13"/>
      <c r="F17" s="13"/>
      <c r="G17" s="13"/>
      <c r="H17" s="13"/>
    </row>
    <row r="18" spans="1:8" ht="19.5" customHeight="1" x14ac:dyDescent="0.25">
      <c r="A18" s="28" t="s">
        <v>90</v>
      </c>
      <c r="B18" s="9" t="s">
        <v>125</v>
      </c>
      <c r="C18" s="9"/>
      <c r="D18" s="9"/>
      <c r="E18" s="9"/>
      <c r="F18" s="9"/>
      <c r="G18" s="9"/>
      <c r="H18" s="9"/>
    </row>
    <row r="19" spans="1:8" ht="19.5" customHeight="1" x14ac:dyDescent="0.25">
      <c r="A19" s="29" t="s">
        <v>75</v>
      </c>
      <c r="B19" s="8" t="s">
        <v>126</v>
      </c>
      <c r="C19" s="8"/>
      <c r="D19" s="8"/>
      <c r="E19" s="8"/>
      <c r="F19" s="8"/>
      <c r="G19" s="8"/>
      <c r="H19" s="8"/>
    </row>
    <row r="20" spans="1:8" ht="19.5" customHeight="1" x14ac:dyDescent="0.25">
      <c r="A20" s="28" t="s">
        <v>101</v>
      </c>
      <c r="B20" s="9" t="s">
        <v>127</v>
      </c>
      <c r="C20" s="9"/>
      <c r="D20" s="9"/>
      <c r="E20" s="9"/>
      <c r="F20" s="9"/>
      <c r="G20" s="9"/>
      <c r="H20" s="9"/>
    </row>
    <row r="21" spans="1:8" ht="19.5" customHeight="1" x14ac:dyDescent="0.25">
      <c r="A21" s="29" t="s">
        <v>103</v>
      </c>
      <c r="B21" s="8" t="s">
        <v>128</v>
      </c>
      <c r="C21" s="8"/>
      <c r="D21" s="8"/>
      <c r="E21" s="8"/>
      <c r="F21" s="8"/>
      <c r="G21" s="8"/>
      <c r="H21" s="8"/>
    </row>
    <row r="22" spans="1:8" ht="19.5" customHeight="1" x14ac:dyDescent="0.25">
      <c r="A22" s="28" t="s">
        <v>105</v>
      </c>
      <c r="B22" s="9" t="s">
        <v>129</v>
      </c>
      <c r="C22" s="9"/>
      <c r="D22" s="9"/>
      <c r="E22" s="9"/>
      <c r="F22" s="9"/>
      <c r="G22" s="9"/>
      <c r="H22" s="9"/>
    </row>
    <row r="23" spans="1:8" ht="19.5" customHeight="1" x14ac:dyDescent="0.25">
      <c r="A23" s="29" t="s">
        <v>130</v>
      </c>
      <c r="B23" s="8" t="s">
        <v>131</v>
      </c>
      <c r="C23" s="8"/>
      <c r="D23" s="8"/>
      <c r="E23" s="8"/>
      <c r="F23" s="8"/>
      <c r="G23" s="8"/>
      <c r="H23" s="8"/>
    </row>
    <row r="24" spans="1:8" ht="19.5" customHeight="1" x14ac:dyDescent="0.25">
      <c r="A24" s="28" t="s">
        <v>132</v>
      </c>
      <c r="B24" s="9" t="s">
        <v>133</v>
      </c>
      <c r="C24" s="9"/>
      <c r="D24" s="9"/>
      <c r="E24" s="9"/>
      <c r="F24" s="9"/>
      <c r="G24" s="9"/>
      <c r="H24" s="9"/>
    </row>
    <row r="25" spans="1:8" ht="19.5" customHeight="1" x14ac:dyDescent="0.25">
      <c r="A25" s="29" t="s">
        <v>134</v>
      </c>
      <c r="B25" s="8" t="s">
        <v>135</v>
      </c>
      <c r="C25" s="8"/>
      <c r="D25" s="8"/>
      <c r="E25" s="8"/>
      <c r="F25" s="8"/>
      <c r="G25" s="8"/>
      <c r="H25" s="8"/>
    </row>
  </sheetData>
  <mergeCells count="19">
    <mergeCell ref="B22:H22"/>
    <mergeCell ref="B23:H23"/>
    <mergeCell ref="B24:H24"/>
    <mergeCell ref="B25:H25"/>
    <mergeCell ref="A17:H17"/>
    <mergeCell ref="B18:H18"/>
    <mergeCell ref="B19:H19"/>
    <mergeCell ref="B20:H20"/>
    <mergeCell ref="B21:H21"/>
    <mergeCell ref="C7:H7"/>
    <mergeCell ref="C8:H8"/>
    <mergeCell ref="C9:H9"/>
    <mergeCell ref="C10:H10"/>
    <mergeCell ref="A12:H12"/>
    <mergeCell ref="A1:H1"/>
    <mergeCell ref="A3:H3"/>
    <mergeCell ref="C4:H4"/>
    <mergeCell ref="C5:H5"/>
    <mergeCell ref="C6:H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zoomScaleNormal="100" workbookViewId="0">
      <selection sqref="A1:F1"/>
    </sheetView>
  </sheetViews>
  <sheetFormatPr defaultColWidth="8.7109375" defaultRowHeight="15" x14ac:dyDescent="0.25"/>
  <cols>
    <col min="1" max="1" width="16" bestFit="1" customWidth="1"/>
    <col min="2" max="2" width="24" customWidth="1"/>
    <col min="3" max="3" width="28" customWidth="1"/>
    <col min="4" max="4" width="16" customWidth="1"/>
    <col min="5" max="6" width="5" customWidth="1"/>
  </cols>
  <sheetData>
    <row r="1" spans="1:6" ht="31.5" customHeight="1" x14ac:dyDescent="0.25">
      <c r="A1" s="14" t="s">
        <v>136</v>
      </c>
      <c r="B1" s="14"/>
      <c r="C1" s="14"/>
      <c r="D1" s="14"/>
      <c r="E1" s="14"/>
      <c r="F1" s="14"/>
    </row>
    <row r="3" spans="1:6" ht="15" customHeight="1" x14ac:dyDescent="0.25">
      <c r="A3" s="32" t="s">
        <v>137</v>
      </c>
      <c r="B3" s="32" t="s">
        <v>138</v>
      </c>
      <c r="C3" s="32" t="s">
        <v>139</v>
      </c>
      <c r="D3" s="32" t="s">
        <v>140</v>
      </c>
      <c r="E3" s="7" t="s">
        <v>140</v>
      </c>
      <c r="F3" s="7"/>
    </row>
    <row r="4" spans="1:6" ht="27.75" customHeight="1" x14ac:dyDescent="0.25">
      <c r="A4" s="33" t="s">
        <v>141</v>
      </c>
      <c r="B4" s="34" t="s">
        <v>142</v>
      </c>
      <c r="C4" s="34" t="s">
        <v>143</v>
      </c>
      <c r="D4" s="6" t="s">
        <v>144</v>
      </c>
      <c r="E4" s="6"/>
      <c r="F4" s="6"/>
    </row>
    <row r="5" spans="1:6" ht="27.75" customHeight="1" x14ac:dyDescent="0.25">
      <c r="A5" s="35" t="s">
        <v>145</v>
      </c>
      <c r="B5" s="36" t="s">
        <v>146</v>
      </c>
      <c r="C5" s="36" t="s">
        <v>147</v>
      </c>
      <c r="D5" s="6"/>
      <c r="E5" s="6"/>
      <c r="F5" s="6"/>
    </row>
    <row r="6" spans="1:6" ht="27.75" customHeight="1" x14ac:dyDescent="0.25">
      <c r="A6" s="33" t="s">
        <v>148</v>
      </c>
      <c r="B6" s="34" t="s">
        <v>149</v>
      </c>
      <c r="C6" s="34" t="s">
        <v>150</v>
      </c>
      <c r="D6" s="6"/>
      <c r="E6" s="6"/>
      <c r="F6" s="6"/>
    </row>
    <row r="7" spans="1:6" ht="27.75" customHeight="1" x14ac:dyDescent="0.25">
      <c r="A7" s="35" t="s">
        <v>151</v>
      </c>
      <c r="B7" s="36" t="s">
        <v>152</v>
      </c>
      <c r="C7" s="36" t="s">
        <v>153</v>
      </c>
      <c r="D7" s="6"/>
      <c r="E7" s="6"/>
      <c r="F7" s="6"/>
    </row>
    <row r="8" spans="1:6" ht="27.75" customHeight="1" x14ac:dyDescent="0.25">
      <c r="A8" s="33" t="s">
        <v>154</v>
      </c>
      <c r="B8" s="34" t="s">
        <v>155</v>
      </c>
      <c r="C8" s="34" t="s">
        <v>156</v>
      </c>
      <c r="D8" s="6"/>
      <c r="E8" s="6"/>
      <c r="F8" s="6"/>
    </row>
    <row r="9" spans="1:6" ht="27.75" customHeight="1" x14ac:dyDescent="0.25">
      <c r="A9" s="35" t="s">
        <v>157</v>
      </c>
      <c r="B9" s="36" t="s">
        <v>158</v>
      </c>
      <c r="C9" s="36" t="s">
        <v>159</v>
      </c>
      <c r="D9" s="6"/>
      <c r="E9" s="6"/>
      <c r="F9" s="6"/>
    </row>
    <row r="10" spans="1:6" ht="27.75" customHeight="1" x14ac:dyDescent="0.25">
      <c r="A10" s="33" t="s">
        <v>160</v>
      </c>
      <c r="B10" s="34" t="s">
        <v>161</v>
      </c>
      <c r="C10" s="34" t="s">
        <v>162</v>
      </c>
      <c r="D10" s="6"/>
      <c r="E10" s="6"/>
      <c r="F10" s="6"/>
    </row>
    <row r="11" spans="1:6" ht="27.75" customHeight="1" x14ac:dyDescent="0.25">
      <c r="A11" s="35" t="s">
        <v>163</v>
      </c>
      <c r="B11" s="36" t="s">
        <v>164</v>
      </c>
      <c r="C11" s="36" t="s">
        <v>165</v>
      </c>
      <c r="D11" s="6"/>
      <c r="E11" s="6"/>
      <c r="F11" s="6"/>
    </row>
    <row r="12" spans="1:6" ht="27.75" customHeight="1" x14ac:dyDescent="0.25">
      <c r="A12" s="33" t="s">
        <v>166</v>
      </c>
      <c r="B12" s="34" t="s">
        <v>167</v>
      </c>
      <c r="C12" s="34" t="s">
        <v>168</v>
      </c>
      <c r="D12" s="6"/>
      <c r="E12" s="6"/>
      <c r="F12" s="6"/>
    </row>
    <row r="15" spans="1:6" ht="27.75" customHeight="1" x14ac:dyDescent="0.25">
      <c r="A15" s="5" t="s">
        <v>169</v>
      </c>
      <c r="B15" s="5"/>
      <c r="C15" s="5"/>
      <c r="D15" s="5"/>
      <c r="E15" s="5"/>
      <c r="F15" s="5"/>
    </row>
    <row r="16" spans="1:6" ht="21.75" customHeight="1" x14ac:dyDescent="0.25">
      <c r="A16" s="4" t="s">
        <v>170</v>
      </c>
      <c r="B16" s="4"/>
      <c r="C16" s="4"/>
      <c r="D16" s="4"/>
      <c r="E16" s="4"/>
      <c r="F16" s="4"/>
    </row>
    <row r="17" spans="1:6" ht="39.75" customHeight="1" x14ac:dyDescent="0.25">
      <c r="A17" s="3" t="s">
        <v>171</v>
      </c>
      <c r="B17" s="3"/>
      <c r="C17" s="3"/>
      <c r="D17" s="3"/>
      <c r="E17" s="3"/>
      <c r="F17" s="3"/>
    </row>
    <row r="18" spans="1:6" ht="21.75" customHeight="1" x14ac:dyDescent="0.25">
      <c r="A18" s="4" t="s">
        <v>172</v>
      </c>
      <c r="B18" s="4"/>
      <c r="C18" s="4"/>
      <c r="D18" s="4"/>
      <c r="E18" s="4"/>
      <c r="F18" s="4"/>
    </row>
    <row r="19" spans="1:6" ht="39.75" customHeight="1" x14ac:dyDescent="0.25">
      <c r="A19" s="8" t="s">
        <v>173</v>
      </c>
      <c r="B19" s="8"/>
      <c r="C19" s="8"/>
      <c r="D19" s="8"/>
      <c r="E19" s="8"/>
      <c r="F19" s="8"/>
    </row>
    <row r="20" spans="1:6" ht="21.75" customHeight="1" x14ac:dyDescent="0.25">
      <c r="A20" s="4" t="s">
        <v>174</v>
      </c>
      <c r="B20" s="4"/>
      <c r="C20" s="4"/>
      <c r="D20" s="4"/>
      <c r="E20" s="4"/>
      <c r="F20" s="4"/>
    </row>
    <row r="21" spans="1:6" ht="39.75" customHeight="1" x14ac:dyDescent="0.25">
      <c r="A21" s="3" t="s">
        <v>175</v>
      </c>
      <c r="B21" s="3"/>
      <c r="C21" s="3"/>
      <c r="D21" s="3"/>
      <c r="E21" s="3"/>
      <c r="F21" s="3"/>
    </row>
    <row r="22" spans="1:6" ht="21.75" customHeight="1" x14ac:dyDescent="0.25">
      <c r="A22" s="4" t="s">
        <v>176</v>
      </c>
      <c r="B22" s="4"/>
      <c r="C22" s="4"/>
      <c r="D22" s="4"/>
      <c r="E22" s="4"/>
      <c r="F22" s="4"/>
    </row>
    <row r="23" spans="1:6" ht="39.75" customHeight="1" x14ac:dyDescent="0.25">
      <c r="A23" s="8" t="s">
        <v>177</v>
      </c>
      <c r="B23" s="8"/>
      <c r="C23" s="8"/>
      <c r="D23" s="8"/>
      <c r="E23" s="8"/>
      <c r="F23" s="8"/>
    </row>
    <row r="24" spans="1:6" ht="21.75" customHeight="1" x14ac:dyDescent="0.25">
      <c r="A24" s="4" t="s">
        <v>178</v>
      </c>
      <c r="B24" s="4"/>
      <c r="C24" s="4"/>
      <c r="D24" s="4"/>
      <c r="E24" s="4"/>
      <c r="F24" s="4"/>
    </row>
    <row r="25" spans="1:6" ht="39.75" customHeight="1" x14ac:dyDescent="0.25">
      <c r="A25" s="3" t="s">
        <v>179</v>
      </c>
      <c r="B25" s="3"/>
      <c r="C25" s="3"/>
      <c r="D25" s="3"/>
      <c r="E25" s="3"/>
      <c r="F25" s="3"/>
    </row>
    <row r="26" spans="1:6" ht="21.75" customHeight="1" x14ac:dyDescent="0.25">
      <c r="A26" s="4" t="s">
        <v>180</v>
      </c>
      <c r="B26" s="4"/>
      <c r="C26" s="4"/>
      <c r="D26" s="4"/>
      <c r="E26" s="4"/>
      <c r="F26" s="4"/>
    </row>
    <row r="27" spans="1:6" ht="39.75" customHeight="1" x14ac:dyDescent="0.25">
      <c r="A27" s="8" t="s">
        <v>181</v>
      </c>
      <c r="B27" s="8"/>
      <c r="C27" s="8"/>
      <c r="D27" s="8"/>
      <c r="E27" s="8"/>
      <c r="F27" s="8"/>
    </row>
    <row r="28" spans="1:6" ht="21.75" customHeight="1" x14ac:dyDescent="0.25">
      <c r="A28" s="4" t="s">
        <v>182</v>
      </c>
      <c r="B28" s="4"/>
      <c r="C28" s="4"/>
      <c r="D28" s="4"/>
      <c r="E28" s="4"/>
      <c r="F28" s="4"/>
    </row>
    <row r="29" spans="1:6" ht="39.75" customHeight="1" x14ac:dyDescent="0.25">
      <c r="A29" s="3" t="s">
        <v>183</v>
      </c>
      <c r="B29" s="3"/>
      <c r="C29" s="3"/>
      <c r="D29" s="3"/>
      <c r="E29" s="3"/>
      <c r="F29" s="3"/>
    </row>
  </sheetData>
  <mergeCells count="18">
    <mergeCell ref="A27:F27"/>
    <mergeCell ref="A28:F28"/>
    <mergeCell ref="A29:F29"/>
    <mergeCell ref="A22:F22"/>
    <mergeCell ref="A23:F23"/>
    <mergeCell ref="A24:F24"/>
    <mergeCell ref="A25:F25"/>
    <mergeCell ref="A26:F26"/>
    <mergeCell ref="A17:F17"/>
    <mergeCell ref="A18:F18"/>
    <mergeCell ref="A19:F19"/>
    <mergeCell ref="A20:F20"/>
    <mergeCell ref="A21:F21"/>
    <mergeCell ref="A1:F1"/>
    <mergeCell ref="E3:F3"/>
    <mergeCell ref="D4:F12"/>
    <mergeCell ref="A15:F15"/>
    <mergeCell ref="A16:F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
  <sheetViews>
    <sheetView topLeftCell="F19" zoomScaleNormal="100" workbookViewId="0">
      <selection sqref="A1:F1"/>
    </sheetView>
  </sheetViews>
  <sheetFormatPr defaultColWidth="8.7109375" defaultRowHeight="15" x14ac:dyDescent="0.25"/>
  <cols>
    <col min="1" max="1" width="18" customWidth="1"/>
    <col min="2" max="2" width="22" customWidth="1"/>
    <col min="3" max="3" width="16" customWidth="1"/>
    <col min="4" max="4" width="14" customWidth="1"/>
    <col min="5" max="5" width="12" customWidth="1"/>
    <col min="6" max="6" width="38" customWidth="1"/>
  </cols>
  <sheetData>
    <row r="1" spans="1:6" ht="31.5" customHeight="1" x14ac:dyDescent="0.25">
      <c r="A1" s="14" t="s">
        <v>184</v>
      </c>
      <c r="B1" s="14"/>
      <c r="C1" s="14"/>
      <c r="D1" s="14"/>
      <c r="E1" s="14"/>
      <c r="F1" s="14"/>
    </row>
    <row r="3" spans="1:6" ht="24" customHeight="1" x14ac:dyDescent="0.25">
      <c r="A3" s="2" t="s">
        <v>185</v>
      </c>
      <c r="B3" s="2"/>
      <c r="C3" s="2"/>
      <c r="D3" s="2"/>
      <c r="E3" s="2"/>
      <c r="F3" s="2"/>
    </row>
    <row r="4" spans="1:6" ht="27.75" customHeight="1" x14ac:dyDescent="0.25">
      <c r="A4" s="1" t="s">
        <v>186</v>
      </c>
      <c r="B4" s="1"/>
      <c r="C4" s="1"/>
      <c r="D4" s="1"/>
      <c r="E4" s="1"/>
      <c r="F4" s="1"/>
    </row>
    <row r="5" spans="1:6" ht="31.5" customHeight="1" x14ac:dyDescent="0.25">
      <c r="A5" s="37" t="s">
        <v>187</v>
      </c>
      <c r="B5" s="40"/>
      <c r="C5" s="40"/>
      <c r="D5" s="40"/>
      <c r="E5" s="38" t="s">
        <v>188</v>
      </c>
      <c r="F5" s="39" t="s">
        <v>189</v>
      </c>
    </row>
    <row r="7" spans="1:6" ht="24" customHeight="1" x14ac:dyDescent="0.25">
      <c r="A7" s="2" t="s">
        <v>190</v>
      </c>
      <c r="B7" s="2"/>
      <c r="C7" s="2"/>
      <c r="D7" s="2"/>
      <c r="E7" s="2"/>
      <c r="F7" s="2"/>
    </row>
    <row r="8" spans="1:6" ht="27.75" customHeight="1" x14ac:dyDescent="0.25">
      <c r="A8" s="1" t="s">
        <v>191</v>
      </c>
      <c r="B8" s="1"/>
      <c r="C8" s="1"/>
      <c r="D8" s="1"/>
      <c r="E8" s="1"/>
      <c r="F8" s="1"/>
    </row>
    <row r="9" spans="1:6" ht="31.5" customHeight="1" x14ac:dyDescent="0.25">
      <c r="A9" s="37" t="s">
        <v>187</v>
      </c>
      <c r="B9" s="40"/>
      <c r="C9" s="40"/>
      <c r="D9" s="40"/>
      <c r="E9" s="38" t="s">
        <v>188</v>
      </c>
      <c r="F9" s="39" t="s">
        <v>192</v>
      </c>
    </row>
    <row r="11" spans="1:6" ht="24" customHeight="1" x14ac:dyDescent="0.25">
      <c r="A11" s="2" t="s">
        <v>193</v>
      </c>
      <c r="B11" s="2"/>
      <c r="C11" s="2"/>
      <c r="D11" s="2"/>
      <c r="E11" s="2"/>
      <c r="F11" s="2"/>
    </row>
    <row r="12" spans="1:6" ht="27.75" customHeight="1" x14ac:dyDescent="0.25">
      <c r="A12" s="1" t="s">
        <v>194</v>
      </c>
      <c r="B12" s="1"/>
      <c r="C12" s="1"/>
      <c r="D12" s="1"/>
      <c r="E12" s="1"/>
      <c r="F12" s="1"/>
    </row>
    <row r="13" spans="1:6" ht="31.5" customHeight="1" x14ac:dyDescent="0.25">
      <c r="A13" s="37" t="s">
        <v>187</v>
      </c>
      <c r="B13" s="40"/>
      <c r="C13" s="40"/>
      <c r="D13" s="40"/>
      <c r="E13" s="38" t="s">
        <v>188</v>
      </c>
      <c r="F13" s="39" t="s">
        <v>195</v>
      </c>
    </row>
    <row r="15" spans="1:6" ht="24" customHeight="1" x14ac:dyDescent="0.25">
      <c r="A15" s="2" t="s">
        <v>196</v>
      </c>
      <c r="B15" s="2"/>
      <c r="C15" s="2"/>
      <c r="D15" s="2"/>
      <c r="E15" s="2"/>
      <c r="F15" s="2"/>
    </row>
    <row r="16" spans="1:6" ht="27.75" customHeight="1" x14ac:dyDescent="0.25">
      <c r="A16" s="1" t="s">
        <v>197</v>
      </c>
      <c r="B16" s="1"/>
      <c r="C16" s="1"/>
      <c r="D16" s="1"/>
      <c r="E16" s="1"/>
      <c r="F16" s="1"/>
    </row>
    <row r="17" spans="1:6" ht="31.5" customHeight="1" x14ac:dyDescent="0.25">
      <c r="A17" s="37" t="s">
        <v>187</v>
      </c>
      <c r="B17" s="40"/>
      <c r="C17" s="40"/>
      <c r="D17" s="40"/>
      <c r="E17" s="38" t="s">
        <v>188</v>
      </c>
      <c r="F17" s="39" t="s">
        <v>198</v>
      </c>
    </row>
    <row r="19" spans="1:6" ht="24" customHeight="1" x14ac:dyDescent="0.25">
      <c r="A19" s="2" t="s">
        <v>199</v>
      </c>
      <c r="B19" s="2"/>
      <c r="C19" s="2"/>
      <c r="D19" s="2"/>
      <c r="E19" s="2"/>
      <c r="F19" s="2"/>
    </row>
    <row r="20" spans="1:6" ht="27.75" customHeight="1" x14ac:dyDescent="0.25">
      <c r="A20" s="1" t="s">
        <v>200</v>
      </c>
      <c r="B20" s="1"/>
      <c r="C20" s="1"/>
      <c r="D20" s="1"/>
      <c r="E20" s="1"/>
      <c r="F20" s="1"/>
    </row>
    <row r="21" spans="1:6" ht="31.5" customHeight="1" x14ac:dyDescent="0.25">
      <c r="A21" s="37" t="s">
        <v>187</v>
      </c>
      <c r="B21" s="40"/>
      <c r="C21" s="40"/>
      <c r="D21" s="40"/>
      <c r="E21" s="38" t="s">
        <v>188</v>
      </c>
      <c r="F21" s="39" t="s">
        <v>201</v>
      </c>
    </row>
    <row r="23" spans="1:6" ht="24" customHeight="1" x14ac:dyDescent="0.25">
      <c r="A23" s="2" t="s">
        <v>202</v>
      </c>
      <c r="B23" s="2"/>
      <c r="C23" s="2"/>
      <c r="D23" s="2"/>
      <c r="E23" s="2"/>
      <c r="F23" s="2"/>
    </row>
    <row r="24" spans="1:6" ht="27.75" customHeight="1" x14ac:dyDescent="0.25">
      <c r="A24" s="1" t="s">
        <v>203</v>
      </c>
      <c r="B24" s="1"/>
      <c r="C24" s="1"/>
      <c r="D24" s="1"/>
      <c r="E24" s="1"/>
      <c r="F24" s="1"/>
    </row>
    <row r="25" spans="1:6" ht="31.5" customHeight="1" x14ac:dyDescent="0.25">
      <c r="A25" s="37" t="s">
        <v>187</v>
      </c>
      <c r="B25" s="40"/>
      <c r="C25" s="40"/>
      <c r="D25" s="40"/>
      <c r="E25" s="38" t="s">
        <v>188</v>
      </c>
      <c r="F25" s="39" t="s">
        <v>204</v>
      </c>
    </row>
    <row r="27" spans="1:6" ht="15" customHeight="1" x14ac:dyDescent="0.25">
      <c r="A27" s="41" t="s">
        <v>205</v>
      </c>
      <c r="B27" s="41"/>
      <c r="C27" s="41"/>
      <c r="D27" s="41"/>
      <c r="E27" s="41"/>
      <c r="F27" s="41"/>
    </row>
  </sheetData>
  <mergeCells count="20">
    <mergeCell ref="B21:D21"/>
    <mergeCell ref="A23:F23"/>
    <mergeCell ref="A24:F24"/>
    <mergeCell ref="B25:D25"/>
    <mergeCell ref="A27:F27"/>
    <mergeCell ref="A15:F15"/>
    <mergeCell ref="A16:F16"/>
    <mergeCell ref="B17:D17"/>
    <mergeCell ref="A19:F19"/>
    <mergeCell ref="A20:F20"/>
    <mergeCell ref="A8:F8"/>
    <mergeCell ref="B9:D9"/>
    <mergeCell ref="A11:F11"/>
    <mergeCell ref="A12:F12"/>
    <mergeCell ref="B13:D13"/>
    <mergeCell ref="A1:F1"/>
    <mergeCell ref="A3:F3"/>
    <mergeCell ref="A4:F4"/>
    <mergeCell ref="B5:D5"/>
    <mergeCell ref="A7:F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E74B-891C-4E59-B5E7-67A7A500FBA1}">
  <dimension ref="A1:P17"/>
  <sheetViews>
    <sheetView workbookViewId="0">
      <selection activeCell="J3" sqref="J3"/>
    </sheetView>
  </sheetViews>
  <sheetFormatPr defaultRowHeight="15" x14ac:dyDescent="0.25"/>
  <cols>
    <col min="1" max="1" width="9.140625" style="42"/>
    <col min="2" max="2" width="14.5703125" style="42" bestFit="1" customWidth="1"/>
    <col min="3" max="3" width="4.42578125" style="42" bestFit="1" customWidth="1"/>
    <col min="4" max="4" width="11.85546875" style="42" bestFit="1" customWidth="1"/>
    <col min="5" max="5" width="15.42578125" style="42" bestFit="1" customWidth="1"/>
    <col min="6" max="6" width="12" style="42" bestFit="1" customWidth="1"/>
    <col min="7" max="7" width="15" style="42" bestFit="1" customWidth="1"/>
    <col min="8" max="8" width="14.42578125" style="42" customWidth="1"/>
    <col min="9" max="9" width="10.7109375" customWidth="1"/>
    <col min="10" max="10" width="22.85546875" bestFit="1" customWidth="1"/>
    <col min="11" max="11" width="22.42578125" bestFit="1" customWidth="1"/>
    <col min="12" max="12" width="30" bestFit="1" customWidth="1"/>
    <col min="13" max="13" width="31.7109375" bestFit="1" customWidth="1"/>
    <col min="14" max="14" width="17.85546875" bestFit="1" customWidth="1"/>
    <col min="15" max="15" width="25.7109375" bestFit="1" customWidth="1"/>
    <col min="16" max="16" width="26" bestFit="1" customWidth="1"/>
  </cols>
  <sheetData>
    <row r="1" spans="1:16" x14ac:dyDescent="0.25">
      <c r="A1" s="45" t="s">
        <v>0</v>
      </c>
      <c r="B1" s="45"/>
      <c r="C1" s="45"/>
      <c r="D1" s="45"/>
      <c r="E1" s="45"/>
      <c r="F1" s="45"/>
      <c r="G1" s="45"/>
      <c r="H1" s="45"/>
      <c r="J1" s="43" t="s">
        <v>234</v>
      </c>
      <c r="K1" s="43" t="s">
        <v>235</v>
      </c>
      <c r="L1" s="43" t="s">
        <v>236</v>
      </c>
      <c r="M1" s="43" t="s">
        <v>237</v>
      </c>
      <c r="N1" s="43" t="s">
        <v>238</v>
      </c>
      <c r="O1" s="43" t="s">
        <v>227</v>
      </c>
      <c r="P1" s="43" t="s">
        <v>228</v>
      </c>
    </row>
    <row r="2" spans="1:16" x14ac:dyDescent="0.25">
      <c r="A2" s="45" t="s">
        <v>1</v>
      </c>
      <c r="B2" s="45" t="s">
        <v>2</v>
      </c>
      <c r="C2" s="45" t="s">
        <v>3</v>
      </c>
      <c r="D2" s="45" t="s">
        <v>4</v>
      </c>
      <c r="E2" s="45" t="s">
        <v>5</v>
      </c>
      <c r="F2" s="45" t="s">
        <v>6</v>
      </c>
      <c r="G2" s="45" t="s">
        <v>7</v>
      </c>
      <c r="H2" s="45" t="s">
        <v>8</v>
      </c>
      <c r="J2" s="43" t="s">
        <v>221</v>
      </c>
      <c r="K2" s="43" t="s">
        <v>222</v>
      </c>
      <c r="L2" s="43" t="s">
        <v>223</v>
      </c>
      <c r="M2" s="43" t="s">
        <v>224</v>
      </c>
      <c r="N2" s="43" t="s">
        <v>225</v>
      </c>
      <c r="O2" s="43" t="s">
        <v>226</v>
      </c>
      <c r="P2" s="43" t="s">
        <v>226</v>
      </c>
    </row>
    <row r="3" spans="1:16" x14ac:dyDescent="0.25">
      <c r="A3" s="45" t="s">
        <v>9</v>
      </c>
      <c r="B3" s="45" t="s">
        <v>10</v>
      </c>
      <c r="C3" s="45">
        <v>34</v>
      </c>
      <c r="D3" s="45" t="s">
        <v>11</v>
      </c>
      <c r="E3" s="45" t="s">
        <v>12</v>
      </c>
      <c r="F3" s="45" t="s">
        <v>13</v>
      </c>
      <c r="G3" s="46">
        <v>45296</v>
      </c>
      <c r="H3" s="45" t="s">
        <v>206</v>
      </c>
      <c r="J3" s="43" t="str">
        <f>VLOOKUP(A8,$A$2:$H$17,6,FALSE())</f>
        <v>B-</v>
      </c>
      <c r="K3" s="43" t="str">
        <f>IFERROR(VLOOKUP("P999",$A$2:$H$17,2,FALSE()), "not found pateint")</f>
        <v>not found pateint</v>
      </c>
      <c r="L3" s="44">
        <f>_xlfn.XLOOKUP(A14,$A$3:$A$17,$G$3:$G$17,"not found")</f>
        <v>45325</v>
      </c>
      <c r="M3" s="43" t="str" cm="1">
        <f t="array" ref="M3">_xlfn.XLOOKUP(E8,E3:E17,D3:D17,not found)</f>
        <v>Oncology</v>
      </c>
      <c r="N3" s="43" t="str">
        <f>_xlfn.XLOOKUP(D3,D3:D17,H3:H17,"not found ", 0,-1 )</f>
        <v>$51,000</v>
      </c>
      <c r="O3" s="43" t="str">
        <f>VLOOKUP(A10,A2:H17,5,FALSE)</f>
        <v>Dr. Kapoor</v>
      </c>
      <c r="P3" s="43" t="str">
        <f>_xlfn.XLOOKUP(A10,A3:A17,E3:E17,"not found")</f>
        <v>Dr. Kapoor</v>
      </c>
    </row>
    <row r="4" spans="1:16" x14ac:dyDescent="0.25">
      <c r="A4" s="45" t="s">
        <v>15</v>
      </c>
      <c r="B4" s="45" t="s">
        <v>16</v>
      </c>
      <c r="C4" s="45">
        <v>27</v>
      </c>
      <c r="D4" s="45" t="s">
        <v>17</v>
      </c>
      <c r="E4" s="45" t="s">
        <v>18</v>
      </c>
      <c r="F4" s="45" t="s">
        <v>19</v>
      </c>
      <c r="G4" s="46">
        <v>45299</v>
      </c>
      <c r="H4" s="45" t="s">
        <v>207</v>
      </c>
    </row>
    <row r="5" spans="1:16" x14ac:dyDescent="0.25">
      <c r="A5" s="45" t="s">
        <v>21</v>
      </c>
      <c r="B5" s="45" t="s">
        <v>22</v>
      </c>
      <c r="C5" s="45">
        <v>52</v>
      </c>
      <c r="D5" s="45" t="s">
        <v>23</v>
      </c>
      <c r="E5" s="45" t="s">
        <v>24</v>
      </c>
      <c r="F5" s="45" t="s">
        <v>25</v>
      </c>
      <c r="G5" s="46">
        <v>45301</v>
      </c>
      <c r="H5" s="45" t="s">
        <v>208</v>
      </c>
    </row>
    <row r="6" spans="1:16" x14ac:dyDescent="0.25">
      <c r="A6" s="45" t="s">
        <v>27</v>
      </c>
      <c r="B6" s="45" t="s">
        <v>28</v>
      </c>
      <c r="C6" s="45">
        <v>41</v>
      </c>
      <c r="D6" s="45" t="s">
        <v>11</v>
      </c>
      <c r="E6" s="45" t="s">
        <v>12</v>
      </c>
      <c r="F6" s="45" t="s">
        <v>29</v>
      </c>
      <c r="G6" s="46">
        <v>45303</v>
      </c>
      <c r="H6" s="45" t="s">
        <v>209</v>
      </c>
    </row>
    <row r="7" spans="1:16" x14ac:dyDescent="0.25">
      <c r="A7" s="45" t="s">
        <v>31</v>
      </c>
      <c r="B7" s="45" t="s">
        <v>32</v>
      </c>
      <c r="C7" s="45">
        <v>19</v>
      </c>
      <c r="D7" s="45" t="s">
        <v>33</v>
      </c>
      <c r="E7" s="45" t="s">
        <v>34</v>
      </c>
      <c r="F7" s="45" t="s">
        <v>35</v>
      </c>
      <c r="G7" s="46">
        <v>45306</v>
      </c>
      <c r="H7" s="45" t="s">
        <v>210</v>
      </c>
    </row>
    <row r="8" spans="1:16" x14ac:dyDescent="0.25">
      <c r="A8" s="45" t="s">
        <v>37</v>
      </c>
      <c r="B8" s="45" t="s">
        <v>38</v>
      </c>
      <c r="C8" s="45">
        <v>63</v>
      </c>
      <c r="D8" s="45" t="s">
        <v>39</v>
      </c>
      <c r="E8" s="45" t="s">
        <v>40</v>
      </c>
      <c r="F8" s="45" t="s">
        <v>41</v>
      </c>
      <c r="G8" s="46">
        <v>45309</v>
      </c>
      <c r="H8" s="45" t="s">
        <v>211</v>
      </c>
    </row>
    <row r="9" spans="1:16" x14ac:dyDescent="0.25">
      <c r="A9" s="45" t="s">
        <v>43</v>
      </c>
      <c r="B9" s="45" t="s">
        <v>44</v>
      </c>
      <c r="C9" s="45">
        <v>38</v>
      </c>
      <c r="D9" s="45" t="s">
        <v>17</v>
      </c>
      <c r="E9" s="45" t="s">
        <v>18</v>
      </c>
      <c r="F9" s="45" t="s">
        <v>25</v>
      </c>
      <c r="G9" s="46">
        <v>45311</v>
      </c>
      <c r="H9" s="45" t="s">
        <v>212</v>
      </c>
    </row>
    <row r="10" spans="1:16" x14ac:dyDescent="0.25">
      <c r="A10" s="45" t="s">
        <v>46</v>
      </c>
      <c r="B10" s="45" t="s">
        <v>47</v>
      </c>
      <c r="C10" s="45">
        <v>29</v>
      </c>
      <c r="D10" s="45" t="s">
        <v>23</v>
      </c>
      <c r="E10" s="45" t="s">
        <v>24</v>
      </c>
      <c r="F10" s="45" t="s">
        <v>13</v>
      </c>
      <c r="G10" s="46">
        <v>45313</v>
      </c>
      <c r="H10" s="45" t="s">
        <v>213</v>
      </c>
    </row>
    <row r="11" spans="1:16" x14ac:dyDescent="0.25">
      <c r="A11" s="45" t="s">
        <v>49</v>
      </c>
      <c r="B11" s="45" t="s">
        <v>50</v>
      </c>
      <c r="C11" s="45">
        <v>47</v>
      </c>
      <c r="D11" s="45" t="s">
        <v>39</v>
      </c>
      <c r="E11" s="45" t="s">
        <v>40</v>
      </c>
      <c r="F11" s="45" t="s">
        <v>51</v>
      </c>
      <c r="G11" s="46">
        <v>45316</v>
      </c>
      <c r="H11" s="45" t="s">
        <v>214</v>
      </c>
    </row>
    <row r="12" spans="1:16" x14ac:dyDescent="0.25">
      <c r="A12" s="45" t="s">
        <v>53</v>
      </c>
      <c r="B12" s="45" t="s">
        <v>54</v>
      </c>
      <c r="C12" s="45">
        <v>55</v>
      </c>
      <c r="D12" s="45" t="s">
        <v>11</v>
      </c>
      <c r="E12" s="45" t="s">
        <v>12</v>
      </c>
      <c r="F12" s="45" t="s">
        <v>55</v>
      </c>
      <c r="G12" s="46">
        <v>45319</v>
      </c>
      <c r="H12" s="45" t="s">
        <v>215</v>
      </c>
    </row>
    <row r="13" spans="1:16" x14ac:dyDescent="0.25">
      <c r="A13" s="45" t="s">
        <v>57</v>
      </c>
      <c r="B13" s="45" t="s">
        <v>58</v>
      </c>
      <c r="C13" s="45">
        <v>31</v>
      </c>
      <c r="D13" s="45" t="s">
        <v>33</v>
      </c>
      <c r="E13" s="45" t="s">
        <v>34</v>
      </c>
      <c r="F13" s="45" t="s">
        <v>19</v>
      </c>
      <c r="G13" s="46">
        <v>45323</v>
      </c>
      <c r="H13" s="45" t="s">
        <v>216</v>
      </c>
    </row>
    <row r="14" spans="1:16" x14ac:dyDescent="0.25">
      <c r="A14" s="45" t="s">
        <v>60</v>
      </c>
      <c r="B14" s="45" t="s">
        <v>61</v>
      </c>
      <c r="C14" s="45">
        <v>44</v>
      </c>
      <c r="D14" s="45" t="s">
        <v>17</v>
      </c>
      <c r="E14" s="45" t="s">
        <v>18</v>
      </c>
      <c r="F14" s="45" t="s">
        <v>13</v>
      </c>
      <c r="G14" s="46">
        <v>45325</v>
      </c>
      <c r="H14" s="45" t="s">
        <v>217</v>
      </c>
    </row>
    <row r="15" spans="1:16" x14ac:dyDescent="0.25">
      <c r="A15" s="45" t="s">
        <v>63</v>
      </c>
      <c r="B15" s="45" t="s">
        <v>64</v>
      </c>
      <c r="C15" s="45">
        <v>58</v>
      </c>
      <c r="D15" s="45" t="s">
        <v>23</v>
      </c>
      <c r="E15" s="45" t="s">
        <v>24</v>
      </c>
      <c r="F15" s="45" t="s">
        <v>25</v>
      </c>
      <c r="G15" s="46">
        <v>45328</v>
      </c>
      <c r="H15" s="45" t="s">
        <v>218</v>
      </c>
    </row>
    <row r="16" spans="1:16" x14ac:dyDescent="0.25">
      <c r="A16" s="45" t="s">
        <v>66</v>
      </c>
      <c r="B16" s="45" t="s">
        <v>67</v>
      </c>
      <c r="C16" s="45">
        <v>22</v>
      </c>
      <c r="D16" s="45" t="s">
        <v>33</v>
      </c>
      <c r="E16" s="45" t="s">
        <v>34</v>
      </c>
      <c r="F16" s="45" t="s">
        <v>41</v>
      </c>
      <c r="G16" s="46">
        <v>45330</v>
      </c>
      <c r="H16" s="45" t="s">
        <v>219</v>
      </c>
    </row>
    <row r="17" spans="1:8" x14ac:dyDescent="0.25">
      <c r="A17" s="45" t="s">
        <v>69</v>
      </c>
      <c r="B17" s="45" t="s">
        <v>70</v>
      </c>
      <c r="C17" s="45">
        <v>36</v>
      </c>
      <c r="D17" s="45" t="s">
        <v>11</v>
      </c>
      <c r="E17" s="45" t="s">
        <v>12</v>
      </c>
      <c r="F17" s="45" t="s">
        <v>35</v>
      </c>
      <c r="G17" s="46">
        <v>45332</v>
      </c>
      <c r="H17" s="45" t="s">
        <v>220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 </vt:lpstr>
      <vt:lpstr>Patient_Database</vt:lpstr>
      <vt:lpstr>VLOOKUP_Practice</vt:lpstr>
      <vt:lpstr>XLOOKUP_Practice</vt:lpstr>
      <vt:lpstr>Comparison_InterviewQA</vt:lpstr>
      <vt:lpstr>Practice_Challenges</vt:lpstr>
      <vt:lpstr>xlookup and vlookup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Shailu Kanwar</cp:lastModifiedBy>
  <cp:revision>0</cp:revision>
  <dcterms:created xsi:type="dcterms:W3CDTF">2026-05-30T08:22:07Z</dcterms:created>
  <dcterms:modified xsi:type="dcterms:W3CDTF">2026-05-30T11:50:19Z</dcterms:modified>
  <dc:language>en-US</dc:language>
</cp:coreProperties>
</file>